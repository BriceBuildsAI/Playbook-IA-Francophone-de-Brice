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tos365-my.sharepoint.com/personal/brice_dardeau_atos_net/Documents/Documents/GitHub/Playbook-IA-Francophone-de-Brice/"/>
    </mc:Choice>
  </mc:AlternateContent>
  <xr:revisionPtr revIDLastSave="4505" documentId="8_{B857BCC3-7EE5-4379-869F-79AC47428AC5}" xr6:coauthVersionLast="47" xr6:coauthVersionMax="47" xr10:uidLastSave="{7CD8E09D-0A17-49B3-84D7-7CFDC1E02788}"/>
  <bookViews>
    <workbookView xWindow="-110" yWindow="-110" windowWidth="19420" windowHeight="10300" tabRatio="896" xr2:uid="{02F492F3-3D1D-4FEA-ACD4-D822B597EB0E}"/>
  </bookViews>
  <sheets>
    <sheet name="Accueil" sheetId="12" r:id="rId1"/>
    <sheet name="Glossaire" sheetId="1" r:id="rId2"/>
    <sheet name="Agents" sheetId="3" r:id="rId3"/>
    <sheet name="Recherche guidée des solutions" sheetId="8" r:id="rId4"/>
    <sheet name="Usages &amp; Solutions" sheetId="5" r:id="rId5"/>
    <sheet name="Certifications" sheetId="7" r:id="rId6"/>
    <sheet name="Prompts" sheetId="6" r:id="rId7"/>
    <sheet name="Bibliothèque prompts" sheetId="9" r:id="rId8"/>
    <sheet name="Sources prompts" sheetId="10" r:id="rId9"/>
    <sheet name="Évaluations prompts" sheetId="11" r:id="rId10"/>
    <sheet name="Moodboard V2" sheetId="14" state="hidden" r:id="rId11"/>
  </sheets>
  <definedNames>
    <definedName name="_xlnm._FilterDatabase" localSheetId="2" hidden="1">Agents!$A$7:$E$7</definedName>
    <definedName name="_xlnm._FilterDatabase" localSheetId="5" hidden="1">Certifications!$A$7:$J$7</definedName>
    <definedName name="_xlnm._FilterDatabase" localSheetId="1" hidden="1">Glossaire!$A$7:$C$7</definedName>
    <definedName name="_xlnm._FilterDatabase" localSheetId="3" hidden="1">'Recherche guidée des solutions'!$A$7:$D$7</definedName>
    <definedName name="CouleurIA_Audience">Accueil!$B$43</definedName>
    <definedName name="CouleurIA_Reponses">Accueil!$B$37:$B$40</definedName>
    <definedName name="CouleurIA_Resultat">Accueil!$A$41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9" i="12" l="1"/>
  <c r="A8" i="6" a="1"/>
  <c r="A8" i="6" s="1"/>
  <c r="C26" i="12"/>
  <c r="C28" i="12"/>
  <c r="C29" i="12"/>
  <c r="C30" i="12"/>
  <c r="A12" i="12"/>
  <c r="A8" i="3" a="1"/>
  <c r="A8" i="3" s="1"/>
  <c r="B12" i="12"/>
  <c r="A9" i="12"/>
  <c r="B6" i="12"/>
  <c r="A6" i="12"/>
  <c r="A8" i="8" a="1"/>
  <c r="A8" i="8" s="1"/>
  <c r="K28" i="11"/>
  <c r="K27" i="11"/>
  <c r="K26" i="11"/>
  <c r="K25" i="11"/>
  <c r="K24" i="11"/>
  <c r="K23" i="11"/>
  <c r="K22" i="11"/>
  <c r="K21" i="11"/>
  <c r="K20" i="11"/>
  <c r="K19" i="11"/>
  <c r="K18" i="11"/>
  <c r="K17" i="11"/>
  <c r="K16" i="11"/>
  <c r="K15" i="11"/>
  <c r="K14" i="11"/>
  <c r="K13" i="11"/>
  <c r="K12" i="11"/>
  <c r="K11" i="11"/>
  <c r="K10" i="11"/>
  <c r="K9" i="11"/>
  <c r="K8" i="11"/>
  <c r="K7" i="11"/>
  <c r="K6" i="11"/>
  <c r="K5" i="11"/>
  <c r="A8" i="7" a="1"/>
  <c r="A8" i="7" s="1"/>
  <c r="A8" i="1" a="1"/>
  <c r="A8" i="1" s="1"/>
  <c r="V22" i="5" a="1"/>
  <c r="V22" i="5" s="1"/>
  <c r="V21" i="5" a="1"/>
  <c r="V21" i="5" s="1"/>
  <c r="V20" i="5" a="1"/>
  <c r="V20" i="5" s="1"/>
  <c r="V19" i="5" a="1"/>
  <c r="V19" i="5" s="1"/>
  <c r="V18" i="5" a="1"/>
  <c r="V18" i="5" s="1"/>
  <c r="V17" i="5" a="1"/>
  <c r="V17" i="5" s="1"/>
  <c r="V16" i="5" a="1"/>
  <c r="V16" i="5" s="1"/>
  <c r="V15" i="5" a="1"/>
  <c r="V15" i="5" s="1"/>
  <c r="V14" i="5" a="1"/>
  <c r="V14" i="5" s="1"/>
  <c r="V13" i="5" a="1"/>
  <c r="V13" i="5" s="1"/>
  <c r="V12" i="5" a="1"/>
  <c r="V12" i="5" s="1"/>
  <c r="V11" i="5" a="1"/>
  <c r="V11" i="5" s="1"/>
  <c r="V10" i="5" a="1"/>
  <c r="V10" i="5" s="1"/>
  <c r="V9" i="5" a="1"/>
  <c r="V9" i="5" s="1"/>
  <c r="V8" i="5" a="1"/>
  <c r="V8" i="5" s="1"/>
  <c r="V7" i="5" a="1"/>
  <c r="V7" i="5" s="1"/>
  <c r="V6" i="5" a="1"/>
  <c r="V6" i="5" s="1"/>
  <c r="A41" i="12" l="1"/>
  <c r="B43" i="12"/>
  <c r="B42" i="1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<sst xmlns="http://schemas.openxmlformats.org/spreadsheetml/2006/main" count="2159" uniqueCount="1275">
  <si>
    <t>Terme</t>
  </si>
  <si>
    <t>Description</t>
  </si>
  <si>
    <t>IA Générative</t>
  </si>
  <si>
    <t>IA capable de produire :
texte
image
audio
vidéo
LLM</t>
  </si>
  <si>
    <t>Prompt</t>
  </si>
  <si>
    <t>Hallucination</t>
  </si>
  <si>
    <t>Contexte</t>
  </si>
  <si>
    <t>Informations fournies au modèle.</t>
  </si>
  <si>
    <t>Token</t>
  </si>
  <si>
    <t>Unité de texte utilisée par le modèle.</t>
  </si>
  <si>
    <t>Température</t>
  </si>
  <si>
    <t>Paramètre déterminant :
créativité
stabilité</t>
  </si>
  <si>
    <t>Copilot</t>
  </si>
  <si>
    <t>Assistant IA Microsoft.</t>
  </si>
  <si>
    <t>Agent</t>
  </si>
  <si>
    <t>Assistant IA orienté objectif.
Il peut :
raisonner ;
rechercher ;
agir.</t>
  </si>
  <si>
    <t>RAG</t>
  </si>
  <si>
    <t>Retrieval Augmented Generation.
Question
↓
Recherche documentaire
↓
LLM
↓
Réponse basée sur les documents</t>
  </si>
  <si>
    <t>Grounding</t>
  </si>
  <si>
    <t>Ancrage dans une source fiable.
Les agents Microsoft peuvent s'appuyer sur des connaissances d'entreprise pour répondre à partir des données du tenant.</t>
  </si>
  <si>
    <t>Chunking</t>
  </si>
  <si>
    <t>Découpage des documents pour le RAG.</t>
  </si>
  <si>
    <t>Embedding</t>
  </si>
  <si>
    <t>Représentation mathématique d'un texte.</t>
  </si>
  <si>
    <t>Vector Database</t>
  </si>
  <si>
    <t>Base utilisée pour stocker les embeddings.</t>
  </si>
  <si>
    <t>Orchestration</t>
  </si>
  <si>
    <t>Coordination :
agents
outils
workflows
L'Agent Academy Microsoft cite explicitement l'orchestration comme un concept à comprendre pour construire des agents.</t>
  </si>
  <si>
    <t>Power Automate</t>
  </si>
  <si>
    <t>Automatisation des processus.</t>
  </si>
  <si>
    <t>Dataverse</t>
  </si>
  <si>
    <t>Base de données métier de la Power Platform.
La certification AI Agent Builder demande une connaissance de Dataverse.</t>
  </si>
  <si>
    <t>Adaptive Cards</t>
  </si>
  <si>
    <t>Composants interactifs utilisés dans Teams et Copilot Studio.
La certification mentionne les Adaptive Cards parmi les connaissances attendues.</t>
  </si>
  <si>
    <t>Agentic AI</t>
  </si>
  <si>
    <t>Systèmes d'agents autonomes capables de :
planifier ;
prendre des décisions ;
exécuter des actions.
Les ressources internes Atos décrivent les agents IA comme des programmes capables de prendre des décisions et d'exécuter des actions, éventuellement avec supervision humaine.</t>
  </si>
  <si>
    <t>Multi-Agent</t>
  </si>
  <si>
    <t>Plusieurs agents spécialisés travaillent ensemble.
Exemple :
Agent RH
↓
Agent Finance
↓
Agent Reporting</t>
  </si>
  <si>
    <t>MCP</t>
  </si>
  <si>
    <t>Model Context Protocol.
Standard permettant aux modèles IA d'accéder à des outils et sources externes.
La certification Microsoft le cite explicitement parmi les notions attendues.</t>
  </si>
  <si>
    <t>Agent2Agent (A2A)</t>
  </si>
  <si>
    <t>Communication entre agents.
Également cité dans le périmètre de la certification.</t>
  </si>
  <si>
    <t>Tool Calling</t>
  </si>
  <si>
    <t>Capacité d'un agent à appeler :
API ;
base de données ;
outil métier.</t>
  </si>
  <si>
    <t>Agent Flow</t>
  </si>
  <si>
    <t>Mécanisme d'automatisation propre à Copilot Studio permettant d'intégrer applications et services via des flux d'agents.</t>
  </si>
  <si>
    <t>LangChain</t>
  </si>
  <si>
    <t>Framework permettant de connecter :
LLM ;
outils ;
données ;
workflows.
Les supports internes Atos présentent LangChain comme l'une des briques fondamentales de l'écosystème agentique.</t>
  </si>
  <si>
    <t>LangGraph</t>
  </si>
  <si>
    <t>Framework d'orchestration multi-agents. Atos le présente comme une extension permettant de créer des applications multi-acteurs et des runtimes agentiques sophistiqués.</t>
  </si>
  <si>
    <t>Work IQ</t>
  </si>
  <si>
    <t>Work IQ est une couche de veille sur l’espace de travail qui permet aux agents d’accéder aux données, au contexte et aux outils de l’organisation et de les raisonner. Il crée en permanence une compréhension sémantique sur Microsoft 365 et les systèmes externes avec une gouvernance intégrée et prenant en charge les autorisations.</t>
  </si>
  <si>
    <t>Instructions personnalisées</t>
  </si>
  <si>
    <t>Il s'agit d'instruction permanentes sur vous-même ou le contexte.</t>
  </si>
  <si>
    <t>Explain</t>
  </si>
  <si>
    <t>Fonction expliquer dans PowerPoint. Il suffit de faire un clique droit sur les objets pour comprendre le sens et travailler sa naration.</t>
  </si>
  <si>
    <t>Quelles sont les questions qu’un public exécutif est susceptible de poser après la diapositive 6 ?</t>
  </si>
  <si>
    <t>Existe-t-il un écart logique entre les diapositives 4 et 5 ? Comment dois-je les relier ?</t>
  </si>
  <si>
    <t>Quelle revendication de cette présentation est la plus susceptible de faire l’objet d’un pushback, et quelles données puis-je ajouter pour la prendre en charge ?</t>
  </si>
  <si>
    <t>Le flux narratif de ce jeu correspond-il à une structure problème-solution-résultat ?</t>
  </si>
  <si>
    <t>Créez une image photoréaliste d’un groupe diversifié de professionnels qui examinent un tableau de bord de données dans un bureau ouvert moderne, à la lumière naturelle chaude et au ton optimiste.</t>
  </si>
  <si>
    <t xml:space="preserve">Résumer les modifications ou un présentation </t>
  </si>
  <si>
    <t>Ajoutez des notes du présentateur à toutes les diapositives de cette présentation. Écrivez-les en tant que points de discussion concis et à puces qui étendent le contenu de la diapositive sans le répéter. Supposons qu’il s’agit d’un public professionnel avec un temps limité. Concentrez-vous sur les principales explications, les transitions et ce que je dois souligner lors de la présentation.</t>
  </si>
  <si>
    <t>Réécrire les notes de l’orateur sur cette diapositive pour qu’elles semblent plus conversationnelles. Cette réunion est une mise à jour interne de la direction, et non une présentation officielle du conseil d’administration.</t>
  </si>
  <si>
    <t>Faites en sorte que les notes de la diapositive 8 fassent autorité. Je présente des chiffres de retour sur investissement à un directeur financier et j’ai besoin de projeter la confiance.</t>
  </si>
  <si>
    <t>Condensez les notes de la diapositive 3 à trois puces que je peux regarder tout en parlant.</t>
  </si>
  <si>
    <t>Développez les notes de la diapositive 6. J’ai besoin de plus de contexte sur les données du marché de l’APAC afin de pouvoir répondre aux questions de suivi.</t>
  </si>
  <si>
    <t>Réécrire les notes de l’orateur sur la diapositive 5 comme si je fais une présentation à des responsables techniques qui posent des questions détaillées sur la mise en œuvre.</t>
  </si>
  <si>
    <t>Simplifiez la langue dans les notes de la diapositive 10. Mon public comprend des anglophones non natifs et je veux une formulation simple.</t>
  </si>
  <si>
    <t>Ajoutez une phrase de transition à la fin des notes de la diapositive 4 qui mène naturellement à la projection financière de la diapositive 5.</t>
  </si>
  <si>
    <t>Ajoutez un point de pause suggéré et une invite de questions dans les notes de la diapositive 7 pour inviter le public à réagir.</t>
  </si>
  <si>
    <t>Coach</t>
  </si>
  <si>
    <r>
      <t xml:space="preserve">Entraineur de présentation intégré dans PowerPoint. Se rendre dans </t>
    </r>
    <r>
      <rPr>
        <b/>
        <sz val="11"/>
        <color theme="1"/>
        <rFont val="Aptos Narrow"/>
        <family val="2"/>
        <scheme val="minor"/>
      </rPr>
      <t>Diaporama</t>
    </r>
    <r>
      <rPr>
        <sz val="11"/>
        <color theme="1"/>
        <rFont val="Aptos Narrow"/>
        <family val="2"/>
        <scheme val="minor"/>
      </rPr>
      <t xml:space="preserve"> et sélectionner </t>
    </r>
    <r>
      <rPr>
        <b/>
        <sz val="11"/>
        <color theme="1"/>
        <rFont val="Aptos Narrow"/>
        <family val="2"/>
        <scheme val="minor"/>
      </rPr>
      <t>Répéter avec Coach.</t>
    </r>
  </si>
  <si>
    <t>Utiliser Idea Coach pour produire un premier brouillon plus solide et qui necessite moins de révision par la suite.</t>
  </si>
  <si>
    <t>Stratégie</t>
  </si>
  <si>
    <t>Idea Coach</t>
  </si>
  <si>
    <t>Writing Coach</t>
  </si>
  <si>
    <t>Quand l'utiliser</t>
  </si>
  <si>
    <t>Pour trouver des idées avant de commencer une présentation par exemple.</t>
  </si>
  <si>
    <t>Utilisez cet agent comme dernière étape de révision après la modification de votre document.</t>
  </si>
  <si>
    <t>Auto Rewrite</t>
  </si>
  <si>
    <t>Nouvelle fonctionnalité dans Word. Sert à reformuler un texte existant en modifiant le ton, le style ou la clarté. C'est donc l'outil adapté pour transformer un paragraphe en un texte plus formel.</t>
  </si>
  <si>
    <t>Draft with Selection</t>
  </si>
  <si>
    <t>Nouvelle fonctionnalité dans Word. Sert à générer ou développer du contenu à partir d'une sélection, par exemple convertir une liste à puces en un paragraphe rédigé et structuré.</t>
  </si>
  <si>
    <t>Microsoft</t>
  </si>
  <si>
    <t>Copilot Chat</t>
  </si>
  <si>
    <t>OpenAI</t>
  </si>
  <si>
    <t>Anthropic</t>
  </si>
  <si>
    <t>Microsoft 365 Copilot</t>
  </si>
  <si>
    <t>Copilot Studio</t>
  </si>
  <si>
    <t>Catégorie</t>
  </si>
  <si>
    <t>SharePoint</t>
  </si>
  <si>
    <t>Teams</t>
  </si>
  <si>
    <t>—</t>
  </si>
  <si>
    <t>Claude for Work</t>
  </si>
  <si>
    <t>Hugging Face</t>
  </si>
  <si>
    <t>N8N</t>
  </si>
  <si>
    <t>Outil</t>
  </si>
  <si>
    <t>Recherche</t>
  </si>
  <si>
    <t>Analyste</t>
  </si>
  <si>
    <t>Prompt Coach</t>
  </si>
  <si>
    <t>AI Learning Advisor</t>
  </si>
  <si>
    <t>PowerPoint</t>
  </si>
  <si>
    <t>Planner Agent</t>
  </si>
  <si>
    <t>Sondage</t>
  </si>
  <si>
    <t>Word</t>
  </si>
  <si>
    <t>Excel</t>
  </si>
  <si>
    <t>Learning</t>
  </si>
  <si>
    <t>Sharepoint list agent</t>
  </si>
  <si>
    <t>SME Finder</t>
  </si>
  <si>
    <t>Sales</t>
  </si>
  <si>
    <t>Agent de pages Sharepoint</t>
  </si>
  <si>
    <t>Career Coach</t>
  </si>
  <si>
    <t>Service</t>
  </si>
  <si>
    <t>Insights Agent</t>
  </si>
  <si>
    <t>SharePoint Admin Agent</t>
  </si>
  <si>
    <t>Cas d'usage / Prompts</t>
  </si>
  <si>
    <t>Aide les utilisateurs à développer et à affiner leurs idées et à améliorer leurs sessions de brainstorming. Le modèle d’agent Idea Coach utilise un ton amusant et collaboratif pour inspirer la créativité et garantir des interactions de brainstorming attrayantes et productives.</t>
  </si>
  <si>
    <t>Générer des idées et des rubriques
Planifier des sessions de brainstorming
Trouver des exercices créatifs de brainstorming
Organiser les idées
Améliorer leurs compétences en matière de brainstorming</t>
  </si>
  <si>
    <t>Passez en revue ce paragraphe pour plus de clarté et de cohérence : []
Suggérer des façons de rendre ce résumé plus approprié pour un public non technique : []
Identifiez les problèmes de tonalité dans la section suivante et proposez des corrections : []
Comment puis-je améliorer la structure de cette conclusion ? []</t>
  </si>
  <si>
    <t>Fournit des commentaires sur la qualité de l’écriture, en mettant l’accent sur la clarté, la cohérence, la grammaire, le ton et le ciblage de l’audience.</t>
  </si>
  <si>
    <t>Microsoft Search</t>
  </si>
  <si>
    <t>Agent spécialisé dans la recherche d'informations dans les données Microsoft 365 de l'organisation (fichiers, emails, conversations Teams, sites SharePoint).</t>
  </si>
  <si>
    <t>Trouve les documents liés au projet X
Recherche les emails de [personne] sur [sujet]
Quels fichiers ont été modifiés cette semaine sur [thème] ?</t>
  </si>
  <si>
    <t>Pour retrouver rapidement des informations dispersées dans votre environnement M365.</t>
  </si>
  <si>
    <t>Excel / Power BI</t>
  </si>
  <si>
    <t>Agent d'analyse de données qui aide à interpréter des données, créer des visualisations et identifier des tendances dans les fichiers Excel et rapports Power BI.</t>
  </si>
  <si>
    <t>Analyse les tendances de ventes du Q1
Crée un graphique comparant [données A] et [données B]
Quelles sont les anomalies dans ce jeu de données ?</t>
  </si>
  <si>
    <t>Pour analyser des données complexes et obtenir des insights sans être expert en analyse.</t>
  </si>
  <si>
    <t>Agent qui aide les utilisateurs à formuler de meilleurs prompts pour obtenir des réponses plus pertinentes et précises de Copilot.</t>
  </si>
  <si>
    <t>Comment reformuler cette demande pour de meilleurs résultats ?
Aide-moi à structurer mon prompt pour [objectif]
Qu'est-ce qui manque dans mon instruction ?</t>
  </si>
  <si>
    <t>Quand vos prompts ne donnent pas les résultats attendus ou pour apprendre à mieux communiquer avec l'IA.</t>
  </si>
  <si>
    <t>Viva Learning</t>
  </si>
  <si>
    <t>Agent de conseil en formation qui recommande des parcours d'apprentissage personnalisés basés sur vos objectifs de carrière et compétences actuelles.</t>
  </si>
  <si>
    <t>Quelles formations pour devenir expert en [domaine] ?
Crée un plan de développement pour [compétence]
Quelles certifications recommandes-tu pour mon profil ?</t>
  </si>
  <si>
    <t>Pour planifier votre montée en compétences et identifier les formations pertinentes.</t>
  </si>
  <si>
    <t>Agent intégré à PowerPoint qui aide à créer, structurer et améliorer des présentations à partir de documents, notes ou instructions.</t>
  </si>
  <si>
    <t>Crée une présentation de 10 slides sur [sujet]
Résume ce document en une présentation exécutive
Ajoute des notes de présentateur pour chaque diapositive</t>
  </si>
  <si>
    <t>Pour créer rapidement des présentations professionnelles ou transformer des documents en slides.</t>
  </si>
  <si>
    <t>Microsoft Planner</t>
  </si>
  <si>
    <t>Agent de gestion de projet qui aide à créer des plans, assigner des tâches, suivre l'avancement et organiser le travail d'équipe.</t>
  </si>
  <si>
    <t>Crée un plan de projet pour [initiative]
Quelles tâches sont en retard cette semaine ?
Assigne les tâches du sprint aux membres de l'équipe</t>
  </si>
  <si>
    <t>Pour organiser et suivre les projets d'équipe sans quitter la conversation.</t>
  </si>
  <si>
    <t>Microsoft Forms</t>
  </si>
  <si>
    <t>Agent qui aide à créer des sondages, questionnaires et formulaires de feedback, puis à analyser les résultats.</t>
  </si>
  <si>
    <t>Crée un sondage de satisfaction client
Génère un questionnaire d'évaluation de formation
Analyse les réponses de mon dernier sondage</t>
  </si>
  <si>
    <t>Pour collecter des feedbacks et opinions de manière structurée.</t>
  </si>
  <si>
    <t>Agent intégré à Word qui aide à rédiger, reformuler, résumer et structurer des documents professionnels.</t>
  </si>
  <si>
    <t>Rédige une proposition commerciale pour [client]
Résume ce document en 3 paragraphes
Reformule ce texte pour un ton plus formel</t>
  </si>
  <si>
    <t>Pour accélérer la rédaction et améliorer la qualité de vos documents.</t>
  </si>
  <si>
    <t>Agent intégré à Excel qui aide à analyser des données, créer des formules, générer des graphiques et automatiser des tâches.</t>
  </si>
  <si>
    <t>Crée une formule pour calculer [objectif]
Analyse les tendances de ce tableau
Génère un tableau croisé dynamique par [dimension]</t>
  </si>
  <si>
    <t>Pour manipuler des données et créer des analyses sans être expert Excel.</t>
  </si>
  <si>
    <t>Agent qui recommande des contenus de formation pertinents et aide à organiser le temps d'apprentissage.</t>
  </si>
  <si>
    <t>Recommande des cours sur [sujet]
Planifie 2h d'apprentissage cette semaine
Quels sont les nouveaux contenus dans mon domaine ?</t>
  </si>
  <si>
    <t>Pour maintenir une culture d'apprentissage continu.</t>
  </si>
  <si>
    <t>Agent avancé (Frontier) qui aide à créer et gérer des workflows automatisés connectant plusieurs applications M365.</t>
  </si>
  <si>
    <t>Crée un workflow quand je reçois un email de [source]
Automatise l'approbation des demandes de congés
Notifie l'équipe quand un fichier est modifié</t>
  </si>
  <si>
    <t>Pour automatiser des processus métier récurrents. (Agent Frontier = fonctionnalités avancées)</t>
  </si>
  <si>
    <t>Agent spécialisé dans la gestion des listes SharePoint : création, mise à jour, requêtes et automatisation.</t>
  </si>
  <si>
    <t>Crée une liste de suivi des projets
Filtre les éléments où [condition]
Ajoute une colonne calculée pour [objectif]</t>
  </si>
  <si>
    <t>Pour gérer des données structurées dans SharePoint sans connaître les formules.</t>
  </si>
  <si>
    <t>Viva / Graph</t>
  </si>
  <si>
    <t>Agent qui identifie les experts (Subject Matter Experts) dans l'organisation sur un sujet donné, basé sur leurs contributions et interactions.</t>
  </si>
  <si>
    <t>Qui est expert en [domaine] dans l'entreprise ?
Trouve quelqu'un qui peut m'aider sur [problème technique]
Quels collègues ont travaillé sur des projets similaires ?</t>
  </si>
  <si>
    <t>Pour trouver rapidement la bonne personne à contacter sur un sujet spécifique.</t>
  </si>
  <si>
    <t>Dynamics 365 / Viva Sales</t>
  </si>
  <si>
    <t>Agent commercial qui aide à préparer des réunions clients, résumer des opportunités et suggérer des actions de suivi.</t>
  </si>
  <si>
    <t>Prépare un briefing pour ma réunion avec [client]
Résume l'historique des interactions avec [compte]
Quelles opportunités nécessitent un suivi cette semaine ?</t>
  </si>
  <si>
    <t>Pour les commerciaux qui veulent être mieux préparés et plus efficaces.</t>
  </si>
  <si>
    <t>Agent qui aide à créer, structurer et optimiser des pages SharePoint pour la communication interne.</t>
  </si>
  <si>
    <t>Crée une page d'actualités pour [annonce]
Optimise cette page pour une meilleure lisibilité
Génère une page de documentation pour [projet]</t>
  </si>
  <si>
    <t>Pour créer du contenu SharePoint engageant sans compétences en design.</t>
  </si>
  <si>
    <t>Viva</t>
  </si>
  <si>
    <t>Agent de coaching de carrière qui aide à définir des objectifs professionnels, préparer des entretiens et planifier des évolutions.</t>
  </si>
  <si>
    <t>Aide-moi à préparer mon entretien annuel
Quelles compétences développer pour évoluer vers [poste] ?
Comment présenter mon parcours pour [opportunité] ?</t>
  </si>
  <si>
    <t>Pour réfléchir à votre développement de carrière avec un coach virtuel.</t>
  </si>
  <si>
    <t>Viva Insights</t>
  </si>
  <si>
    <t>Agent avancé (Frontier) d'analyse RH qui fournit des insights sur le bien-être, la collaboration et la productivité des équipes.</t>
  </si>
  <si>
    <t>Comment se porte le moral de mon équipe ?
Quels sont les patterns de collaboration ?
Identifie les risques de surcharge de travail</t>
  </si>
  <si>
    <t>Pour les managers qui veulent suivre le bien-être et l'efficacité de leur équipe. (Frontier)</t>
  </si>
  <si>
    <t>Dynamics 365 Service</t>
  </si>
  <si>
    <t>Agent de support client qui aide à résoudre des tickets, accéder à la base de connaissances et suggérer des solutions.</t>
  </si>
  <si>
    <t>Trouve une solution pour [problème client]
Résume l'historique de ce ticket
Quels articles de la KB sont pertinents pour ce cas ?</t>
  </si>
  <si>
    <t>Pour les équipes support qui veulent résoudre les demandes plus rapidement.</t>
  </si>
  <si>
    <t>Dynamics 365 Finance</t>
  </si>
  <si>
    <t>Agent avancé (Frontier) financier qui aide à analyser les données comptables, préparer des rapports et identifier des anomalies.</t>
  </si>
  <si>
    <t>Résume la situation financière du mois
Quelles sont les variances budgétaires significatives ?
Prépare un rapport de clôture mensuelle</t>
  </si>
  <si>
    <t>Pour les équipes finance qui veulent automatiser l'analyse et le reporting. (Frontier)</t>
  </si>
  <si>
    <t>Agent qui analyse vos habitudes de travail et suggère des améliorations pour votre productivité et bien-être.</t>
  </si>
  <si>
    <t>Comment puis-je mieux organiser mes réunions ?
Quand suis-je le plus productif ?
Comment réduire mes interruptions ?</t>
  </si>
  <si>
    <t>Pour optimiser votre temps et améliorer votre équilibre travail-vie personnelle.</t>
  </si>
  <si>
    <t>SharePoint Admin Center</t>
  </si>
  <si>
    <t>Agent pour les administrateurs SharePoint qui aide à gérer les sites, permissions, quotas et politiques de gouvernance.</t>
  </si>
  <si>
    <t>Quels sites sont inactifs depuis 6 mois ?
Vérifie les permissions sur [site]
Génère un rapport d'utilisation du stockage</t>
  </si>
  <si>
    <t>Pour les administrateurs SharePoint qui veulent simplifier la gouvernance.</t>
  </si>
  <si>
    <t>Dynamics 365 Sales</t>
  </si>
  <si>
    <t>Agent avancé (Frontier) de développement commercial qui aide à qualifier les leads, personnaliser les approches et optimiser le pipeline.</t>
  </si>
  <si>
    <t>Qualifie ce lead selon nos critères
Suggère une approche personnalisée pour [prospect]
Quels leads prioriser cette semaine ?</t>
  </si>
  <si>
    <t>Pour les équipes SDR/BDR qui veulent améliorer leur taux de conversion. (Frontier)</t>
  </si>
  <si>
    <t>PowerPoint / Copilot Chat</t>
  </si>
  <si>
    <t>Word / Copilot Chat</t>
  </si>
  <si>
    <t>Semantic Kernel</t>
  </si>
  <si>
    <t>Framework open source de Microsoft pour intégrer des LLM dans des applications. Il permet d'orchestrer des plugins, des prompts et des connecteurs pour créer des agents IA. C'est le moteur sous-jacent de nombreuses fonctionnalités Copilot.</t>
  </si>
  <si>
    <t>Fine-tuning</t>
  </si>
  <si>
    <t>Processus d'entraînement supplémentaire d'un modèle pré-entraîné sur des données spécifiques pour l'adapter à une tâche ou un domaine particulier. Permet de personnaliser les réponses du modèle.</t>
  </si>
  <si>
    <t>Few-shot Learning</t>
  </si>
  <si>
    <t>Technique de prompting où l'on fournit quelques exemples (2-5) dans le prompt pour guider le modèle sur le format ou le style de réponse attendu. Exemple : donner 3 exemples de classification avant de demander une nouvelle classification.</t>
  </si>
  <si>
    <t>Zero-shot Learning</t>
  </si>
  <si>
    <t>Capacité d'un modèle à accomplir une tâche sans aucun exemple préalable, uniquement à partir des instructions. Le modèle généralise à partir de son entraînement initial.</t>
  </si>
  <si>
    <t>Chain of Thought (CoT)</t>
  </si>
  <si>
    <t>Technique de prompting qui encourage le modèle à expliciter son raisonnement étape par étape avant de donner une réponse finale. Améliore la précision sur les problèmes complexes. Exemple : "Réfléchis étape par étape..."</t>
  </si>
  <si>
    <t>ReAct</t>
  </si>
  <si>
    <t>Pattern d'agent IA combinant Reasoning (raisonnement) et Acting (action). L'agent alterne entre réflexion sur la situation et exécution d'actions, puis observe les résultats pour ajuster son approche.</t>
  </si>
  <si>
    <t>Context Window</t>
  </si>
  <si>
    <t>Nombre maximum de tokens qu'un LLM peut traiter en une seule requête (prompt + réponse). Exemples : GPT-4 = 128K tokens, Claude = 200K tokens. Limite la quantité d'informations que le modèle peut "voir" simultanément.</t>
  </si>
  <si>
    <t>System Prompt</t>
  </si>
  <si>
    <t>Instructions initiales données au modèle pour définir son comportement, son rôle, ses contraintes et son style de réponse. Aussi appelé "system message" ou "instructions système". Non visible par l'utilisateur final.</t>
  </si>
  <si>
    <t>RLHF</t>
  </si>
  <si>
    <t>Reinforcement Learning from Human Feedback. Technique d'entraînement où des évaluateurs humains notent les réponses du modèle pour l'aligner sur les préférences humaines (utilité, sécurité, honnêteté).</t>
  </si>
  <si>
    <t>Inference</t>
  </si>
  <si>
    <t>Processus d'exécution d'un modèle entraîné pour générer des prédictions ou des réponses à partir de nouvelles entrées. C'est le moment où le modèle "travaille" pour répondre à une requête.</t>
  </si>
  <si>
    <t>Attention (mécanisme)</t>
  </si>
  <si>
    <t>Mécanisme fondamental des Transformers permettant au modèle de pondérer l'importance relative de chaque mot/token par rapport aux autres dans une séquence. Permet de capturer les relations contextuelles.</t>
  </si>
  <si>
    <t>Transformer</t>
  </si>
  <si>
    <t>Architecture de réseau de neurones introduite en 2017 ("Attention is All You Need"). Base de tous les LLM modernes (GPT, Claude, Gemini, Llama). Utilise le mécanisme d'attention pour traiter les séquences en parallèle.</t>
  </si>
  <si>
    <t>Plateforme low-code de Microsoft pour créer, personnaliser et déployer des agents Copilot. Permet de connecter des sources de données, définir des actions et orchestrer des workflows sans coder.</t>
  </si>
  <si>
    <t>Interface de chat IA gratuite de Microsoft accessible via copilot.microsoft.com ou Bing. Permet de dialoguer avec l'IA sans licence M365 Copilot. Fonctionnalités limitées par rapport à M365 Copilot.</t>
  </si>
  <si>
    <t>Assistant IA intégré aux applications Microsoft 365 (Word, Excel, PowerPoint, Outlook, Teams). Nécessite une licence spécifique. Accède aux données de l'organisation via Microsoft Graph.</t>
  </si>
  <si>
    <t>Frontier (agents)</t>
  </si>
  <si>
    <t>Catégorie d'agents Copilot en preview ou accès anticipé. Fonctionnalités avancées nécessitant souvent des licences spécifiques (Dynamics 365, Copilot Studio). Peuvent évoluer avant la disponibilité générale.</t>
  </si>
  <si>
    <t>Recall</t>
  </si>
  <si>
    <t>Fonctionnalité Windows/Copilot qui capture des "snapshots" de l'activité de l'écran pour permettre une recherche sémantique dans l'historique. Permet de retrouver ce que vous avez vu/fait sur votre PC.</t>
  </si>
  <si>
    <t>Declarative Agent</t>
  </si>
  <si>
    <t>Type d'agent Copilot Studio défini par configuration (déclaratif) plutôt que par code. On déclare ce que l'agent doit faire (sources, instructions, actions) sans programmer la logique.</t>
  </si>
  <si>
    <t>Connectors</t>
  </si>
  <si>
    <t>Composants qui permettent à Copilot/Power Platform de se connecter à des sources de données externes (SharePoint, Salesforce, APIs...). Plus de 1000 connecteurs disponibles dans l'écosystème Microsoft.</t>
  </si>
  <si>
    <t>Plugins (Copilot)</t>
  </si>
  <si>
    <t>Extensions qui ajoutent des capacités à Copilot. Peuvent être des actions (envoyer un email, créer une tâche) ou des sources de connaissances. Développés via Copilot Studio ou code.</t>
  </si>
  <si>
    <t>Microsoft Graph</t>
  </si>
  <si>
    <t>API unifiée de Microsoft donnant accès aux données M365 : emails, calendriers, fichiers, contacts, Teams... C'est la source principale de contexte pour M365 Copilot.</t>
  </si>
  <si>
    <t>Purview</t>
  </si>
  <si>
    <t>Suite Microsoft de gouvernance des données et de conformité. Inclut la classification des données, la protection des informations, la gestion des risques et l'audit. Essentiel pour sécuriser l'usage de Copilot.</t>
  </si>
  <si>
    <t>Entra ID</t>
  </si>
  <si>
    <t>Nouveau nom d'Azure Active Directory. Service d'identité et d'accès de Microsoft. Gère l'authentification, les permissions et la sécurité des accès aux ressources cloud et Copilot.</t>
  </si>
  <si>
    <t>Operator (OpenAI)</t>
  </si>
  <si>
    <t>Agent IA d'OpenAI capable de naviguer sur le web, cliquer, remplir des formulaires et exécuter des tâches dans un navigateur. Représente l'évolution vers des agents autonomes capables d'agir dans le monde numérique.</t>
  </si>
  <si>
    <t>Offre entreprise d'Anthropic intégrant Claude dans les outils de travail. Équivalent de M365 Copilot côté Anthropic. Permet à l'IA d'accéder aux documents et données de l'organisation.</t>
  </si>
  <si>
    <t>Plateforme d'automatisation open source avec capacités IA. Alternative à Power Automate/Zapier. Permet de créer des workflows connectant applications et modèles IA. Populaire pour sa flexibilité et son auto-hébergement.</t>
  </si>
  <si>
    <t>Knowledge Graph</t>
  </si>
  <si>
    <t>Graphe de connaissances représentant les entités (personnes, concepts, objets) et leurs relations. Utilisé pour enrichir le contexte des agents IA et améliorer le RAG. Microsoft Graph en est un exemple.</t>
  </si>
  <si>
    <t>Ontologie</t>
  </si>
  <si>
    <t>Modèle formel définissant les concepts d'un domaine et leurs relations. Fournit un schéma structuré pour organiser les connaissances. Utilisée avec les Knowledge Graphs pour le raisonnement IA.</t>
  </si>
  <si>
    <t>SPARQL</t>
  </si>
  <si>
    <t>Langage de requête pour interroger des bases de données RDF et des graphes de connaissances. Équivalent de SQL pour les données liées. Utilisé avec les ontologies et Knowledge Graphs.</t>
  </si>
  <si>
    <t>Cypher</t>
  </si>
  <si>
    <t>Langage de requête pour les bases de données graphes (Neo4j). Permet d'interroger et manipuler des graphes de connaissances de manière intuitive avec une syntaxe visuelle.</t>
  </si>
  <si>
    <t>Guardrails</t>
  </si>
  <si>
    <t>Mécanismes de sécurité intégrés aux systèmes IA pour prévenir les comportements indésirables : filtrage de contenu, détection de jailbreak, limites d'actions. Amazon Bedrock Guardrails, Llama Guard en sont des exemples.</t>
  </si>
  <si>
    <t>Alignment</t>
  </si>
  <si>
    <t>Processus visant à aligner le comportement d'un modèle IA sur les valeurs et intentions humaines. Inclut RLHF, constitutional AI, et autres techniques pour rendre l'IA utile, honnête et inoffensive.</t>
  </si>
  <si>
    <t>Latent Space</t>
  </si>
  <si>
    <t>Espace vectoriel de haute dimension où les modèles IA représentent les concepts. Les embeddings vivent dans cet espace. Les concepts similaires sont proches dans l'espace latent.</t>
  </si>
  <si>
    <t>Diffusion Model</t>
  </si>
  <si>
    <t>Architecture utilisée pour la génération d'images (DALL-E, Stable Diffusion, Imagen). Apprend à reconstruire des images à partir de bruit, puis inverse le processus pour générer de nouvelles images.</t>
  </si>
  <si>
    <t>Réponse d'une IA plausible mais fausse.</t>
  </si>
  <si>
    <t>FlowGPT</t>
  </si>
  <si>
    <t>Awesome ChatGPT Prompts</t>
  </si>
  <si>
    <t>https://flowgpt.com</t>
  </si>
  <si>
    <t>https://github.com/f/awesome-chatgpt-prompts</t>
  </si>
  <si>
    <t>Anthropic Prompt Library</t>
  </si>
  <si>
    <t>https://docs.anthropic.com/en/prompt-library/library</t>
  </si>
  <si>
    <t>Pour réaliser un bon prompt, vous avez besoin, d'un contexte, d'un objectif, d'identifier la source et de définir les attentes.
Fournir un contexte : pourquoi en avez-vous besoin et qui est impliqué ? Décrivez la situation, que vous soyez en train de préparer une réunion cliente, d’analyser un rapport trimestriel ou de créer une présentation de la direction. Contrairement à la recherche traditionnelle, Copilot répond le mieux aux invites détaillées et descriptives.
Décrire un objectif : Que voulez-vous que Copilot fasse ? Spécifiez la sortie : un résumé, un premier brouillon, une liste d’éléments d’action, une visualisation de données. Si vous avez un format à l’esprit, décrivez-le.
Définir une source : Où doit se trouver Copilot ? Référencez des fichiers, des e-mails, des réunions ou des notes de réunion spécifiques afin que Copilot extrait le contenu approprié. Avec votre licence Microsoft 365 Copilot, vous pouvez référencer vos données professionnelles (e-mails, réunions et fichiers) directement dans vos invites.
Définir les attentes : Comment Copilot doit-il répondre ? Spécifiez l’audience, le ton, la longueur ou la structure. Une réponse pour la haute direction se lit différemment d’une réponse pour une mise à jour de l’équipe de projet.</t>
  </si>
  <si>
    <t>Sécurité</t>
  </si>
  <si>
    <t>Architecture</t>
  </si>
  <si>
    <t>Prompting</t>
  </si>
  <si>
    <t>Données</t>
  </si>
  <si>
    <t>Modèle</t>
  </si>
  <si>
    <t>Généralité</t>
  </si>
  <si>
    <t>Large Language Model (Grand modèle de langage). Modèle d'IA entraîné sur de vastes corpus de textes pour comprendre et générer du langage naturel.
Exemples :
• OpenAI : GPT-4, GPT-4o, o1, o3
• Anthropic : Claude 3.5 Sonnet, Claude 3 Opus
• Google : Gemini Pro, Gemini Ultra
• Meta : Llama 3, Llama 3.1
• Mistral AI : Mistral Large, Mixtral
• Microsoft : Phi-3, Phi-4</t>
  </si>
  <si>
    <t>Modèles de langage plus petits et optimisés pour des tâches spécifiques ou des environnements contraints.
Exemples :
• Microsoft Phi-3/Phi-4
• Google Gemma
• Meta Llama 3.2 (versions légères)
Avantages : rapidité, coût réduit, déploiement local possible.</t>
  </si>
  <si>
    <t>Modèle capable de traiter plusieurs types de données : texte, image, audio, vidéo.
Exemples :
• GPT-4o (texte + image + audio)
• Gemini (texte + image + vidéo)
• Claude 3 (texte + image)
Permet des interactions plus riches et naturelles.</t>
  </si>
  <si>
    <t>Modèles optimisés pour le raisonnement complexe et la résolution de problèmes.
Exemples :
• OpenAI o1, o3
• Google Gemini 2.0 Flash Thinking
Utilisent des techniques de "thinking" avant de répondre.</t>
  </si>
  <si>
    <t>Pattern</t>
  </si>
  <si>
    <t>Type de modèle IA</t>
  </si>
  <si>
    <t>Agentique</t>
  </si>
  <si>
    <t>Large Language Model (LLM) – 3e/4e génération</t>
  </si>
  <si>
    <t>SLM (Small Language Model) – 4e génération</t>
  </si>
  <si>
    <t>Modèle multimodal – 4e génération</t>
  </si>
  <si>
    <t>Modèle de raisonnement – 5e génération</t>
  </si>
  <si>
    <t>Générations d'IA</t>
  </si>
  <si>
    <t>Évolution historique des modèles d'intelligence artificielle :
🔹 1re génération – IA symbolique (années 1950-1980)
Systèmes basés sur des règles logiques et la manipulation de symboles.
Exemples : ELIZA, systèmes experts (MYCIN, DENDRAL)
🔹 2e génération – Machine Learning (années 1990-2010)
Apprentissage à partir de données avec algorithmes statistiques.
Exemples : SVM, Random Forest, réseaux de neurones classiques, IBM Watson (Jeopardy)
🔹 3e génération – Deep Learning (années 2012-2020)
Réseaux de neurones profonds, architectures Transformer (2017).
Exemples : BERT, GPT-2, GPT-3, AlphaGo, reconnaissance d'images (ResNet)
🔹 4e génération – IA Générative (2022-2024)
Modèles de langage massifs, multimodaux, assistants conversationnels.
Exemples : GPT-4, Claude 3, Gemini, DALL-E 3, Midjourney, Copilot, Phi-3/4 (SLM)
🔹 5e génération – IA Agentique &amp; Raisonnement (2024-2025)
Modèles capables de raisonner, planifier et agir de manière autonome.
Exemples : OpenAI o1/o3, Gemini 2.0 Flash Thinking, agents Copilot Studio, Operator (OpenAI)
🔹 6e génération – AGI / IA Générale (à venir)
Intelligence artificielle capable d'égaler ou surpasser l'intelligence humaine sur toutes les tâches cognitives. Autonomie complète, apprentissage continu, transfert de connaissances entre domaines.
Exemples attendus : GPT-5 (?), Project Stargate, initiatives DeepMind, recherches Anthropic sur l'alignement</t>
  </si>
  <si>
    <t>Copilot Pages</t>
  </si>
  <si>
    <t>Canvas collaboratif alimenté par l'IA dans Microsoft 365. Permet de créer des pages partagées où les utilisateurs peuvent travailler ensemble avec l'assistance de Copilot pour synthétiser, organiser et enrichir le contenu.</t>
  </si>
  <si>
    <t>Copilot Actions</t>
  </si>
  <si>
    <t>Automatisations créées et déclenchées par Copilot pour exécuter des tâches répétitives. Permettent de transformer des instructions en langage naturel en workflows automatisés.</t>
  </si>
  <si>
    <t>SharePoint Premium</t>
  </si>
  <si>
    <t>Ensemble de fonctionnalités IA avancées pour SharePoint (anciennement Syntex). Inclut le traitement intelligent des documents, la classification automatique et l'extraction de métadonnées par IA.</t>
  </si>
  <si>
    <t>Loop</t>
  </si>
  <si>
    <t>Application Microsoft de collaboration en temps réel. Les composants Loop sont des blocs de contenu portables et synchronisés entre les apps M365, avec Copilot intégré pour la co-création.</t>
  </si>
  <si>
    <t>Copilot Lab</t>
  </si>
  <si>
    <t>Espace d'apprentissage et d'expérimentation pour maîtriser Copilot. Propose des prompts recommandés, des conseils et permet de sauvegarder ses prompts favoris.</t>
  </si>
  <si>
    <t>Microsoft Places</t>
  </si>
  <si>
    <t>Application M365 pour optimiser le travail hybride. Utilise l'IA pour coordonner la présence au bureau, les réservations d'espaces et la collaboration en présentiel.</t>
  </si>
  <si>
    <t>AutoGPT</t>
  </si>
  <si>
    <t>Agent IA autonome open source capable de décomposer un objectif en sous-tâches, les exécuter et itérer jusqu'à l'accomplissement. Pionnier du mouvement agentique (2023).</t>
  </si>
  <si>
    <t>CrewAI</t>
  </si>
  <si>
    <t>Framework Python pour créer des équipes d'agents IA collaboratifs. Chaque agent a un rôle, des compétences et peut déléguer des tâches à d'autres agents.</t>
  </si>
  <si>
    <t>Function Calling</t>
  </si>
  <si>
    <t>Capacité d'un LLM à générer des appels de fonction structurés (JSON) plutôt que du texte. Permet au modèle d'interagir avec des APIs et outils externes de manière fiable.</t>
  </si>
  <si>
    <t>Planning (IA)</t>
  </si>
  <si>
    <t>Capacité d'un agent IA à décomposer un objectif complexe en étapes, établir un plan d'action et l'adapter en fonction des résultats. Composant clé de l'IA agentique.</t>
  </si>
  <si>
    <t>Memory (agents)</t>
  </si>
  <si>
    <t>Système permettant aux agents de conserver des informations entre les interactions.
• Mémoire court terme : contexte de la conversation
• Mémoire long terme : faits persistants
• Mémoire épisodique : expériences passées</t>
  </si>
  <si>
    <t>API</t>
  </si>
  <si>
    <t>Application Programming Interface. Interface permettant à des applications de communiquer entre elles. Les LLM sont généralement accessibles via des APIs REST (OpenAI API, Azure OpenAI, etc.).</t>
  </si>
  <si>
    <t>Tokenization</t>
  </si>
  <si>
    <t>Processus de découpage d'un texte en tokens (unités de base) pour le traitement par un LLM. Différents tokenizers existent (BPE, WordPiece, SentencePiece). Un mot peut correspondre à 1 ou plusieurs tokens.</t>
  </si>
  <si>
    <t>Perplexity (métrique)</t>
  </si>
  <si>
    <t>Métrique mesurant la qualité d'un modèle de langage. Plus la perplexité est basse, meilleur est le modèle. Indique à quel point le modèle est "surpris" par le texte qu'il prédit.</t>
  </si>
  <si>
    <t>Benchmark (IA)</t>
  </si>
  <si>
    <t>Ensemble de tests standardisés pour évaluer les performances des modèles IA.
Exemples :
• MMLU : connaissances générales
• HumanEval : code
• GSM8K : mathématiques
• HellaSwag : raisonnement</t>
  </si>
  <si>
    <t>Quantization</t>
  </si>
  <si>
    <t>Technique de compression des modèles IA en réduisant la précision des poids (ex: float32 → int8). Permet de déployer des modèles sur des appareils à ressources limitées avec une perte de qualité minimale.</t>
  </si>
  <si>
    <t>LoRA / QLoRA</t>
  </si>
  <si>
    <t>Low-Rank Adaptation. Technique de fine-tuning efficace qui n'entraîne qu'une petite partie des paramètres du modèle. QLoRA combine LoRA avec la quantization pour réduire encore les ressources nécessaires.</t>
  </si>
  <si>
    <t>Prompt Engineering</t>
  </si>
  <si>
    <t>Discipline consistant à concevoir et optimiser les prompts pour obtenir les meilleures réponses des LLM. Inclut la structuration, le contexte, les exemples et les contraintes.</t>
  </si>
  <si>
    <t>Self-Consistency</t>
  </si>
  <si>
    <t>Technique de prompting où l'on génère plusieurs réponses avec raisonnement, puis on sélectionne la réponse la plus fréquente. Améliore la fiabilité sur les problèmes de raisonnement.</t>
  </si>
  <si>
    <t>Tree of Thought (ToT)</t>
  </si>
  <si>
    <t>Évolution du Chain of Thought. Le modèle explore plusieurs branches de raisonnement en parallèle, évalue chaque chemin et sélectionne le plus prometteur. Utile pour les problèmes complexes.</t>
  </si>
  <si>
    <t>Role Prompting</t>
  </si>
  <si>
    <t>Technique consistant à assigner un rôle ou une persona au modèle ("Tu es un expert en..."). Influence le ton, le niveau de détail et l'expertise des réponses.</t>
  </si>
  <si>
    <t>Jailbreak</t>
  </si>
  <si>
    <t>Technique visant à contourner les guardrails et restrictions d'un modèle IA pour obtenir des réponses normalement interdites. Les fournisseurs renforcent continuellement leurs protections contre ces attaques.</t>
  </si>
  <si>
    <t>Responsible AI</t>
  </si>
  <si>
    <t>Cadre de principes Microsoft pour une IA éthique et responsable.
Piliers :
• Équité
• Fiabilité et sécurité
• Confidentialité
• Inclusivité
• Transparence
• Responsabilité</t>
  </si>
  <si>
    <t>Biais (IA)</t>
  </si>
  <si>
    <t>Tendance d'un modèle IA à produire des résultats systématiquement faussés en raison de biais dans les données d'entraînement ou la conception. Peut perpétuer des stéréotypes ou discriminations.</t>
  </si>
  <si>
    <t>Explainability / XAI</t>
  </si>
  <si>
    <t>IA Explicable. Capacité à comprendre et expliquer comment un modèle IA arrive à ses décisions. Essentiel pour la confiance, l'audit et la conformité réglementaire (EU AI Act).</t>
  </si>
  <si>
    <t>Data Loss Prevention (DLP)</t>
  </si>
  <si>
    <t>Ensemble de politiques et outils pour empêcher la fuite de données sensibles. Dans le contexte Copilot, le DLP contrôle quelles informations peuvent être partagées avec l'IA.</t>
  </si>
  <si>
    <t>Sensitivity Labels</t>
  </si>
  <si>
    <t>Étiquettes de confidentialité Microsoft 365 (Public, Interne, Confidentiel, Très confidentiel). Copilot respecte ces étiquettes et ne peut pas accéder aux contenus au-delà des permissions de l'utilisateur.</t>
  </si>
  <si>
    <t>Azure OpenAI Service</t>
  </si>
  <si>
    <t>Service cloud Azure donnant accès aux modèles OpenAI (GPT-4, DALL-E, Whisper) avec la sécurité et conformité entreprise Azure. C'est le backend de Microsoft 365 Copilot.</t>
  </si>
  <si>
    <t>Entreprise d'IA fondée par d'anciens membres d'OpenAI. Créateur de Claude. Focus sur la sécurité de l'IA (AI Safety) et l'alignement. Techniques notables : Constitutional AI, RLHF.</t>
  </si>
  <si>
    <t>Entreprise d'IA créatrice de GPT, DALL-E, Whisper et ChatGPT. Partenaire stratégique de Microsoft. Pionnière de l'IA générative grand public et des modèles de raisonnement (o1, o3).</t>
  </si>
  <si>
    <t>Plateforme communautaire pour le partage de modèles IA, datasets et applications. Hub central de l'écosystème open source ML. Propose aussi des outils (Transformers, Datasets, Spaces).</t>
  </si>
  <si>
    <t>Foundation Model</t>
  </si>
  <si>
    <t>Modèle IA de grande taille pré-entraîné sur des données massives, servant de base pour diverses applications. Exemples : GPT-4, Claude, Llama. Peut être adapté via fine-tuning ou prompting.</t>
  </si>
  <si>
    <t>Semantic Search</t>
  </si>
  <si>
    <t>Recherche basée sur le sens et l'intention plutôt que sur la correspondance exacte de mots-clés. Utilise les embeddings pour trouver des résultats conceptuellement similaires à la requête.</t>
  </si>
  <si>
    <t>Similarity Search</t>
  </si>
  <si>
    <t>Recherche de vecteurs (embeddings) similaires dans une base vectorielle. Utilise des métriques de distance (cosine, euclidienne) pour trouver les documents les plus proches sémantiquement.</t>
  </si>
  <si>
    <t>Indexing (IA)</t>
  </si>
  <si>
    <t>Processus de préparation des documents pour la recherche :
1. Chunking (découpage)
2. Embedding (vectorisation)
3. Stockage dans une base vectorielle
Étape essentielle du RAG.</t>
  </si>
  <si>
    <t>Data Lakehouse</t>
  </si>
  <si>
    <t>Architecture de données combinant les avantages du Data Lake (stockage brut, flexible) et du Data Warehouse (structure, performance). Exemples : Databricks, Microsoft Fabric.</t>
  </si>
  <si>
    <t>Certification</t>
  </si>
  <si>
    <t>Niveau</t>
  </si>
  <si>
    <t>Pour qui ?</t>
  </si>
  <si>
    <t>Business</t>
  </si>
  <si>
    <t>Business / Management</t>
  </si>
  <si>
    <t>Associate</t>
  </si>
  <si>
    <t>Fundamentals</t>
  </si>
  <si>
    <t>Expert</t>
  </si>
  <si>
    <t>Specialty</t>
  </si>
  <si>
    <t>Niveau affiché</t>
  </si>
  <si>
    <t>Priorité</t>
  </si>
  <si>
    <t>Débutant</t>
  </si>
  <si>
    <t>Utilisateurs avancés de Copilot, BA, knowledge workers</t>
  </si>
  <si>
    <t>Immédiate</t>
  </si>
  <si>
    <t>Fundamentals / Technique</t>
  </si>
  <si>
    <t>Débutants IA, profils métier ou techniques</t>
  </si>
  <si>
    <t>Haute</t>
  </si>
  <si>
    <t>Fundamentals / Low-code</t>
  </si>
  <si>
    <t>BA, Citizen Developers, makers</t>
  </si>
  <si>
    <t>Intermédiaire</t>
  </si>
  <si>
    <t>Associate / Builder</t>
  </si>
  <si>
    <t>Builders avancés, développeurs, consultants Power Platform</t>
  </si>
  <si>
    <t>Moyen terme</t>
  </si>
  <si>
    <t>Fundamentals / Data</t>
  </si>
  <si>
    <t>BA orientés data, débutants Azure Data</t>
  </si>
  <si>
    <t>Complément</t>
  </si>
  <si>
    <t>Business / Leadership</t>
  </si>
  <si>
    <t>Managers, sponsors IA, responsables transformation</t>
  </si>
  <si>
    <t>Selon le rôle</t>
  </si>
  <si>
    <t>RÉFÉRENTIEL — NIVEAUX, FAMILLES ET FILIÈRES</t>
  </si>
  <si>
    <t>Repère</t>
  </si>
  <si>
    <t>Nature</t>
  </si>
  <si>
    <t>Exemples dans ce parcours</t>
  </si>
  <si>
    <t>Niveau de difficulté indiqué sur les pages Microsoft Learn ; il ne décrit pas la séniorité du poste.</t>
  </si>
  <si>
    <t>AB-730, AB-731, AI-900, PL-900, DP-900</t>
  </si>
  <si>
    <t>Niveau nécessitant une pratique plus approfondie et une capacité d’intégration ou de construction.</t>
  </si>
  <si>
    <t>AB-620</t>
  </si>
  <si>
    <t>Famille de certification</t>
  </si>
  <si>
    <t>Certification de socle, généralement identifiée par un code d’examen se terminant par -900.</t>
  </si>
  <si>
    <t>AI-900, PL-900, DP-900</t>
  </si>
  <si>
    <t>Certification basée sur un rôle, généralement de niveau intermédiaire et orientée mise en œuvre.</t>
  </si>
  <si>
    <t>AI Agent Builder Associate (AB-620)</t>
  </si>
  <si>
    <t>Certification avancée validant la maîtrise d’un rôle et de scénarios complexes.</t>
  </si>
  <si>
    <t>Aucune dans la sélection actuelle</t>
  </si>
  <si>
    <t>Certification spécialisée sur un domaine ou une charge de travail précise.</t>
  </si>
  <si>
    <t>Filière ou public</t>
  </si>
  <si>
    <t>Orientation métier ou leadership : ce n’est pas un niveau Microsoft. C’est pourquoi elle ne figurait pas dans l’ancien référentiel des niveaux.</t>
  </si>
  <si>
    <t>AB-730 (Business), AB-731 (Leadership)</t>
  </si>
  <si>
    <t>Applied Skills</t>
  </si>
  <si>
    <t>Autre type de titre</t>
  </si>
  <si>
    <t>Titre court basé sur une évaluation pratique en laboratoire ; distinct d’une certification complète.</t>
  </si>
  <si>
    <t>Objectif et compétences clés</t>
  </si>
  <si>
    <t>Ordre</t>
  </si>
  <si>
    <t>Intérêt / moment conseillé</t>
  </si>
  <si>
    <t>Améliorer les résultats métier avec l’IA générative et Microsoft 365 Copilot, sans coder.
Compétences : Fondamentaux GenAI ; prompts et conversations ; agents ; rédaction et analyse de contenu métier</t>
  </si>
  <si>
    <t>⭐⭐⭐⭐⭐ Cible la plus directe pour valoriser ton usage métier de Copilot.
Quand : Après une pratique régulière de Microsoft 365 Copilot</t>
  </si>
  <si>
    <t>Construire un socle commun sur les charges de travail IA et les services Azure AI.
Compétences : Machine learning ; vision ; NLP ; IA générative ; principes d’IA responsable</t>
  </si>
  <si>
    <t>⭐⭐⭐⭐⭐ Excellent socle conceptuel, reconnu et transversal.
Quand : Au début du parcours ou en parallèle d’AB-730</t>
  </si>
  <si>
    <t>Comprendre Power Platform pour automatiser, analyser et créer des solutions low-code.
Compétences : Power Apps ; Power Automate ; Dataverse ; Power BI ; valeur métier de Power Platform</t>
  </si>
  <si>
    <t>⭐⭐⭐⭐⭐ Complément naturel à Copilot Studio et aux agents.
Quand : Après le socle IA, avant un parcours builder</t>
  </si>
  <si>
    <t>Concevoir, intégrer, sécuriser, tester et exploiter des agents d’entreprise dans Copilot Studio.
Compétences : Agent flows ; Dataverse ; connecteurs/API ; RAG ; MCP/A2A ; multi-agent ; ALM et gouvernance</t>
  </si>
  <si>
    <t>⭐⭐⭐⭐ Très pertinent si tu veux construire et intégrer des agents.
Quand : Après PL-900 et une pratique concrète de Copilot Studio</t>
  </si>
  <si>
    <t>Acquérir le vocabulaire et les principes des données relationnelles, non relationnelles et analytiques.
Compétences : Données relationnelles ; NoSQL ; analytics ; services de données Azure</t>
  </si>
  <si>
    <t>⭐⭐⭐⭐ Bon bonus pour mieux comprendre les sources et architectures de données.
Quand : Quand les sujets data, RAG ou gouvernance deviennent plus présents</t>
  </si>
  <si>
    <t>Identifier la valeur de l’IA, choisir les solutions et piloter adoption, gouvernance et transformation.
Compétences : Business value ; portefeuille Microsoft AI ; ROI ; IA responsable ; stratégie d’adoption et conduite du changement</t>
  </si>
  <si>
    <t>⭐⭐⭐ Moins prioritaire aujourd’hui, mais très utile pour un rôle de management ou de sponsor.
Quand : À remonter dans le classement si tu pilotes une adoption ou une transformation IA</t>
  </si>
  <si>
    <t>Lien officiel</t>
  </si>
  <si>
    <t>https://learn.microsoft.com/fr-fr/credentials/certifications/ai-business-professional/</t>
  </si>
  <si>
    <t>https://learn.microsoft.com/fr-fr/credentials/certifications/azure-ai-fundamentals/</t>
  </si>
  <si>
    <t>https://learn.microsoft.com/fr-fr/credentials/certifications/power-platform-fundamentals/</t>
  </si>
  <si>
    <t>https://learn.microsoft.com/fr-fr/credentials/certifications/ai-agent-builder-associate/</t>
  </si>
  <si>
    <t>https://learn.microsoft.com/fr-fr/credentials/certifications/azure-data-fundamentals/</t>
  </si>
  <si>
    <t>https://learn.microsoft.com/fr-fr/credentials/certifications/ai-transformation-leader/</t>
  </si>
  <si>
    <t>76 € HT*
Examen payant ; préparation Microsoft Learn gratuite</t>
  </si>
  <si>
    <t>165 USD* — prix France à confirmer lors de l’inscription
Examen payant ; préparation Microsoft Learn gratuite</t>
  </si>
  <si>
    <t>Prix de l’examen</t>
  </si>
  <si>
    <t>PL-900
Power Platform Fundamentals</t>
  </si>
  <si>
    <t>AB-620
AI Agent Builder Associate</t>
  </si>
  <si>
    <t>DP-900
Azure Data Fundamentals</t>
  </si>
  <si>
    <t>AB-731
AI Transformation Leader</t>
  </si>
  <si>
    <t>Titre</t>
  </si>
  <si>
    <t>AB-730
AI Business Professional</t>
  </si>
  <si>
    <t>AI-900
Azure AI Fundamentals</t>
  </si>
  <si>
    <t>Applied Skill
Créer un agent dans Microsoft Copilot Studio</t>
  </si>
  <si>
    <t>Applied Skills / Copilot Studio</t>
  </si>
  <si>
    <t>Créateurs d’applications, utilisateurs métier, makers Copilot Studio</t>
  </si>
  <si>
    <t>Démontrer la capacité à créer et publier un agent dans Copilot Studio.
Compétences : configuration de l’agent ; IA générative et connaissances ; rubriques ; outils ; partage et publication.</t>
  </si>
  <si>
    <t>⭐⭐⭐⭐⭐ Validation pratique directement utile avant un parcours builder avancé.
Quand : après PL-900 et une première pratique de Copilot Studio. Préparation : 3 h 52 ; évaluation pratique : 2 h, en anglais.</t>
  </si>
  <si>
    <t>https://learn.microsoft.com/fr-fr/credentials/applied-skills/build-an-agent-in-microsoft-copilot-studio/</t>
  </si>
  <si>
    <t>Gratuite*
Parcours et évaluation Microsoft Learn</t>
  </si>
  <si>
    <t>Applied Skill
Améliorer les agents avec des fonctionnalités autonomes</t>
  </si>
  <si>
    <t>Applied Skills / Agentique</t>
  </si>
  <si>
    <t>Makers et développeurs connaissant Copilot Studio, Power Automate et Dataverse</t>
  </si>
  <si>
    <t>Ajouter des capacités autonomes à un agent Copilot Studio.
Compétences : connaissances ; agent flows comme outils ; déclencheurs d’événements ; gestion des erreurs ; interaction humaine.</t>
  </si>
  <si>
    <t>⭐⭐⭐⭐⭐ Étape pratique idéale entre la création d’un agent simple et AB-620.
Quand : après l’Applied Skill de création d’agent. Préparation : 2 h ; évaluation pratique : 45 min, en anglais.</t>
  </si>
  <si>
    <t>https://learn.microsoft.com/fr-fr/credentials/applied-skills/enhance-agents-with-autonomous-capabilities/</t>
  </si>
  <si>
    <t>Créer un agent dans Copilot Studio ; Améliorer les agents avec des fonctionnalités autonomes</t>
  </si>
  <si>
    <t>* Les certifications complètes sont payantes. Les deux Applied Skills sont accessibles comme évaluations pratiques Microsoft Learn sans prix affiché sur leur page ; vérifiez les conditions au lancement. Les prix d’examen varient selon le pays, la TVA et les promotions.</t>
  </si>
  <si>
    <t>🧭 Atlas des solutions et usages de l’IA</t>
  </si>
  <si>
    <t>Une lecture par besoin : partez d’une catégorie générique, identifiez l’usage recherché, puis comparez les solutions spécifiques proposées par chaque éditeur.</t>
  </si>
  <si>
    <t>1️⃣ 🧭 Catégorie générique / repère</t>
  </si>
  <si>
    <t>2️⃣ 🎯 Besoin / intention du lecteur</t>
  </si>
  <si>
    <t>3️⃣ 🏷️ Microsoft</t>
  </si>
  <si>
    <t>3️⃣ 🏷️ Anthropic</t>
  </si>
  <si>
    <t>3️⃣ 🏷️ OpenAI</t>
  </si>
  <si>
    <t>3️⃣ 🏷️ Google</t>
  </si>
  <si>
    <t>3️⃣ 🏷️ Perplexity</t>
  </si>
  <si>
    <t>3️⃣ 🏷️ Salesforce</t>
  </si>
  <si>
    <t>3️⃣ 🏷️ ServiceNow</t>
  </si>
  <si>
    <t>3️⃣ 🏷️ SAP</t>
  </si>
  <si>
    <t>3️⃣ 🏷️ Oracle</t>
  </si>
  <si>
    <t>3️⃣ 🏷️ Atlassian</t>
  </si>
  <si>
    <t>3️⃣ 🏷️ Amazon</t>
  </si>
  <si>
    <t>3️⃣ 🏷️ IBM</t>
  </si>
  <si>
    <t>3️⃣ 🏷️ Meta</t>
  </si>
  <si>
    <t>3️⃣ 🏷️ Mistral AI</t>
  </si>
  <si>
    <t>3️⃣ 🏷️ Cohere</t>
  </si>
  <si>
    <t>3️⃣ 🏷️ Hugging Face</t>
  </si>
  <si>
    <t>3️⃣ 🏷️ N8N</t>
  </si>
  <si>
    <t>3️⃣ 🏷️ Make</t>
  </si>
  <si>
    <t>3️⃣ 🏷️ Zapier</t>
  </si>
  <si>
    <t>🧭 Chat IA</t>
  </si>
  <si>
    <t>🎯 Je dialogue avec l'IA</t>
  </si>
  <si>
    <t>🏷️ Copilot Chat</t>
  </si>
  <si>
    <t>🏷️ Claude</t>
  </si>
  <si>
    <t>🏷️ ChatGPT</t>
  </si>
  <si>
    <t>🏷️ Gemini</t>
  </si>
  <si>
    <t>🏷️ Perplexity Assistant</t>
  </si>
  <si>
    <t>🏷️ Amazon Q</t>
  </si>
  <si>
    <t>🏷️ Meta AI / Llama</t>
  </si>
  <si>
    <t>🏷️ Le Chat</t>
  </si>
  <si>
    <t>🏷️ Coral</t>
  </si>
  <si>
    <t>🏷️ HuggingChat</t>
  </si>
  <si>
    <t>🧭 Assistance au travail quotidien</t>
  </si>
  <si>
    <t>🏷️ Microsoft 365 Copilot (Chat + Copilot Cowork)</t>
  </si>
  <si>
    <t>🏷️ Claude for Work</t>
  </si>
  <si>
    <t>🏷️ Gemini for Workspace</t>
  </si>
  <si>
    <t>🏷️ Einstein Copilot</t>
  </si>
  <si>
    <t>🏷️ Now Assist</t>
  </si>
  <si>
    <t>🏷️ Joule</t>
  </si>
  <si>
    <t>🏷️ Oracle AI Digital Assistant</t>
  </si>
  <si>
    <t>🏷️ Atlassian Rovo</t>
  </si>
  <si>
    <t>🏷️ Le Chat Enterprise</t>
  </si>
  <si>
    <t>🏷️ Coral Enterprise</t>
  </si>
  <si>
    <t>🔎 REPÈRE TRANSVERSAL — éditeur / écosystème IA</t>
  </si>
  <si>
    <t>🎯 Je comprends le positionnement de l'entreprise et ses principales technologies IA</t>
  </si>
  <si>
    <t>🏷️ Écosystème cloud et productivité : Microsoft 365 Copilot, Copilot Studio, Microsoft Foundry / Azure AI</t>
  </si>
  <si>
    <t>🏷️ Entreprise de modèles axée sécurité : Claude, Claude API, Claude Code, MCP</t>
  </si>
  <si>
    <t>🏷️ Google / DeepMind : Gemini, Vertex AI, Google AI Studio, IA dans Workspace</t>
  </si>
  <si>
    <t>🏷️ Moteur de réponses et recherche IA : Perplexity, Enterprise Pro, Sonar API</t>
  </si>
  <si>
    <t>🏷️ CRM et agents d'entreprise : Agentforce, Einstein, Data Cloud</t>
  </si>
  <si>
    <t>🏷️ Plateforme de workflows d'entreprise : Now Platform, Now Assist, AI Agent Studio</t>
  </si>
  <si>
    <t>🏷️ IA pour ERP et processus métier : SAP Business AI, Joule, SAP AI Core</t>
  </si>
  <si>
    <t>🏷️ Cloud, bases de données et applications métier : OCI Generative AI, Oracle Database AI, Digital Assistant</t>
  </si>
  <si>
    <t>🏷️ Collaboration et gestion du travail : Rovo, Atlassian Intelligence, Jira, Confluence</t>
  </si>
  <si>
    <t>🏷️ Cloud et IA générative : Amazon Bedrock, SageMaker, Amazon Q</t>
  </si>
  <si>
    <t>🏷️ IA d'entreprise hybride : watsonx.ai, watsonx.data, watsonx.governance, watsonx Orchestrate</t>
  </si>
  <si>
    <t>🏷️ Modèles ouverts et produits grand public : Llama, Meta AI, Llama Stack</t>
  </si>
  <si>
    <t>🏷️ Entreprise européenne de modèles : Mistral, Le Chat, La Plateforme</t>
  </si>
  <si>
    <t>🏷️ IA d'entreprise et RAG : Command, Embed, Rerank, North</t>
  </si>
  <si>
    <t>🏷️ Plateforme communautaire open source : Models, Datasets, Spaces, Inference</t>
  </si>
  <si>
    <t>🏷️ Automatisation open source : workflows, AI nodes, agents et déploiement self-hosted</t>
  </si>
  <si>
    <t>🏷️ Automatisation visuelle : Make AI Agents et modules IA</t>
  </si>
  <si>
    <t>🏷️ Automatisation no-code : Zapier AI, Agents, Chatbots et AI Actions</t>
  </si>
  <si>
    <t>🧭 Agent Builder no-code</t>
  </si>
  <si>
    <t>🎯 Je crée des agents spécialisés pour mon équipe</t>
  </si>
  <si>
    <t>🏷️ Copilot Agent Builder</t>
  </si>
  <si>
    <t>🏷️ ❌ Pas d'équivalent direct</t>
  </si>
  <si>
    <t>🏷️ Vertex AI Agent Builder</t>
  </si>
  <si>
    <t>🏷️ Agentforce</t>
  </si>
  <si>
    <t>🏷️ AI Agent Studio</t>
  </si>
  <si>
    <t>🏷️ Bedrock Agents</t>
  </si>
  <si>
    <t>🏷️ watsonx Assistant</t>
  </si>
  <si>
    <t>🏷️ Spaces</t>
  </si>
  <si>
    <t>🏷️ Zapier Chatbots</t>
  </si>
  <si>
    <t>🧭 Studio low-code</t>
  </si>
  <si>
    <t>🎯 Je relie les agents aux processus métier</t>
  </si>
  <si>
    <t>🏷️ Copilot Studio</t>
  </si>
  <si>
    <t>🧭 Plateforme de développement d'agents</t>
  </si>
  <si>
    <t>🎯 Je développe des agents personnalisés avec du code</t>
  </si>
  <si>
    <t>🏷️ Semantic Kernel / Copilot SDK</t>
  </si>
  <si>
    <t>🏷️ SDK Claude + MCP</t>
  </si>
  <si>
    <t>🏷️ Llama Stack</t>
  </si>
  <si>
    <t>🏷️ La Plateforme / API</t>
  </si>
  <si>
    <t>🏷️ Command API</t>
  </si>
  <si>
    <t>🏷️ Transformers / Inference API</t>
  </si>
  <si>
    <t>🧭 Automatisation des flux</t>
  </si>
  <si>
    <t>🎯 J'automatise des tâches répétitives et des processus métier</t>
  </si>
  <si>
    <t>🏷️ Power Automate</t>
  </si>
  <si>
    <t>🏷️ Flow Builder</t>
  </si>
  <si>
    <t>🏷️ Flow Designer</t>
  </si>
  <si>
    <t>🏷️ SAP Build Process Automation</t>
  </si>
  <si>
    <t>🏷️ Oracle Integration Cloud</t>
  </si>
  <si>
    <t>🏷️ Automation for Jira</t>
  </si>
  <si>
    <t>🏷️ AWS Step Functions</t>
  </si>
  <si>
    <t>🏷️ watsonx Orchestrate</t>
  </si>
  <si>
    <t>🏷️ N8N + AI nodes</t>
  </si>
  <si>
    <t>🏷️ Make + AI modules</t>
  </si>
  <si>
    <t>🏷️ Zapier + AI Actions</t>
  </si>
  <si>
    <t>🧭 Base de données / Stockage</t>
  </si>
  <si>
    <t>🎯 Je stocke et structure les données pour mes applications et agents</t>
  </si>
  <si>
    <t>🏷️ Dataverse</t>
  </si>
  <si>
    <t>🏷️ BigQuery</t>
  </si>
  <si>
    <t>🏷️ Salesforce Data Cloud</t>
  </si>
  <si>
    <t>🏷️ Now Platform Tables</t>
  </si>
  <si>
    <t>🏷️ SAP HANA</t>
  </si>
  <si>
    <t>🏷️ Oracle Database</t>
  </si>
  <si>
    <t>🏷️ Amazon DynamoDB</t>
  </si>
  <si>
    <t>🏷️ Db2</t>
  </si>
  <si>
    <t>🏷️ Zapier Tables</t>
  </si>
  <si>
    <t>🧭 Gestion documentaire / GED</t>
  </si>
  <si>
    <t>🎯 Je stocke, partage et gère les documents de mon équipe</t>
  </si>
  <si>
    <t>🏷️ SharePoint</t>
  </si>
  <si>
    <t>🏷️ Google Drive</t>
  </si>
  <si>
    <t>🏷️ Salesforce Files</t>
  </si>
  <si>
    <t>🏷️ SAP Document Management</t>
  </si>
  <si>
    <t>🏷️ Oracle Content Management</t>
  </si>
  <si>
    <t>🏷️ Confluence</t>
  </si>
  <si>
    <t>🏷️ Amazon S3</t>
  </si>
  <si>
    <t>🏷️ IBM FileNet</t>
  </si>
  <si>
    <t>🏷️ Hub</t>
  </si>
  <si>
    <t>🧭 Collaboration / Communication</t>
  </si>
  <si>
    <t>🎯 Je communique et collabore avec mon équipe en temps réel</t>
  </si>
  <si>
    <t>🏷️ Teams</t>
  </si>
  <si>
    <t>🏷️ Google Chat / Meet</t>
  </si>
  <si>
    <t>🏷️ Slack (Salesforce)</t>
  </si>
  <si>
    <t>🏷️ SAP Jam</t>
  </si>
  <si>
    <t>🏷️ Confluence / Jira</t>
  </si>
  <si>
    <t>🏷️ Amazon Chime</t>
  </si>
  <si>
    <t>🏷️ WhatsApp AI</t>
  </si>
  <si>
    <t>🧭 Code / Développement</t>
  </si>
  <si>
    <t>🎯 L'IA m'aide à écrire, comprendre et déboguer du code</t>
  </si>
  <si>
    <t>🏷️ GitHub Copilot</t>
  </si>
  <si>
    <t>🏷️ Claude Code</t>
  </si>
  <si>
    <t>🏷️ Gemini Code Assist</t>
  </si>
  <si>
    <t>🏷️ Amazon Q Developer</t>
  </si>
  <si>
    <t>🏷️ watsonx Code Assistant</t>
  </si>
  <si>
    <t>🏷️ Code Llama</t>
  </si>
  <si>
    <t>🏷️ Codestral</t>
  </si>
  <si>
    <t>🏷️ StarCoder</t>
  </si>
  <si>
    <t>🧭 Recherche / RAG</t>
  </si>
  <si>
    <t>🎯 Je recherche dans mes données d'entreprise avec l'IA</t>
  </si>
  <si>
    <t>🏷️ Azure AI Search / Copilot connectors</t>
  </si>
  <si>
    <t>🏷️ Claude + RAG API</t>
  </si>
  <si>
    <t>🏷️ Vertex AI Search</t>
  </si>
  <si>
    <t>🏷️ Perplexity Pro (sources)</t>
  </si>
  <si>
    <t>🏷️ Einstein Search</t>
  </si>
  <si>
    <t>🏷️ Now Assist Search</t>
  </si>
  <si>
    <t>🏷️ SAP Business AI Search</t>
  </si>
  <si>
    <t>🏷️ Oracle AI Vector Search</t>
  </si>
  <si>
    <t>🏷️ Atlassian Intelligence</t>
  </si>
  <si>
    <t>🏷️ Amazon Kendra</t>
  </si>
  <si>
    <t>🏷️ watsonx Discovery</t>
  </si>
  <si>
    <t>🏷️ Cohere Rerank</t>
  </si>
  <si>
    <t>🏷️ Inference Endpoints</t>
  </si>
  <si>
    <t>🧭 Analyse de données / BI</t>
  </si>
  <si>
    <t>🎯 L'IA m'aide à analyser et visualiser mes données</t>
  </si>
  <si>
    <t>🏷️ Copilot in Power BI / Excel</t>
  </si>
  <si>
    <t>🏷️ Claude (analyse docs)</t>
  </si>
  <si>
    <t>🏷️ Gemini in Looker</t>
  </si>
  <si>
    <t>🏷️ Tableau AI (Einstein)</t>
  </si>
  <si>
    <t>🏷️ Now Assist Analytics</t>
  </si>
  <si>
    <t>🏷️ SAP Analytics Cloud AI</t>
  </si>
  <si>
    <t>🏷️ Oracle Analytics AI</t>
  </si>
  <si>
    <t>🏷️ Amazon QuickSight Q</t>
  </si>
  <si>
    <t>🏷️ watsonx.ai</t>
  </si>
  <si>
    <t>🧭 Sécurité / Gouvernance IA</t>
  </si>
  <si>
    <t>🎯 Je sécurise et gouverne l'usage de l'IA dans mon organisation</t>
  </si>
  <si>
    <t>🏷️ Microsoft Purview / Entra</t>
  </si>
  <si>
    <t>🏷️ Claude Admin Console</t>
  </si>
  <si>
    <t>🏷️ Vertex AI Governance</t>
  </si>
  <si>
    <t>🏷️ Salesforce Shield + Einstein Trust</t>
  </si>
  <si>
    <t>🏷️ SAP AI Core Governance</t>
  </si>
  <si>
    <t>🏷️ Atlassian Guard</t>
  </si>
  <si>
    <t>🏷️ Amazon Bedrock Guardrails</t>
  </si>
  <si>
    <t>🏷️ watsonx.governance</t>
  </si>
  <si>
    <t>🏷️ Llama Guard</t>
  </si>
  <si>
    <t>🧭 Génération d'images</t>
  </si>
  <si>
    <t>🎯 Je crée des images et visuels avec l'IA</t>
  </si>
  <si>
    <t>🏷️ DALL-E (via Copilot) / Designer</t>
  </si>
  <si>
    <t>🏷️ Imagen / Gemini</t>
  </si>
  <si>
    <t>🏷️ Amazon Titan Image</t>
  </si>
  <si>
    <t>🏷️ Stable Diffusion (Hub)</t>
  </si>
  <si>
    <t>🧭 Transcription / Réunions</t>
  </si>
  <si>
    <t>🎯 Je transcris et résume mes réunions et contenus audio</t>
  </si>
  <si>
    <t>🏷️ Copilot in Teams / Recall</t>
  </si>
  <si>
    <t>🏷️ Google Meet AI notes</t>
  </si>
  <si>
    <t>🏷️ Einstein Conversation Insights</t>
  </si>
  <si>
    <t>🏷️ Amazon Transcribe</t>
  </si>
  <si>
    <t>🏷️ watsonx Speech to Text</t>
  </si>
  <si>
    <t>🏷️ Whisper (Hub)</t>
  </si>
  <si>
    <t>MODE D’EMPLOI — 1️⃣ Choisissez une catégorie 🧭 selon ce que vous voulez accomplir.  2️⃣ Vérifiez que le besoin 🎯 correspond à votre situation.  3️⃣ Parcourez horizontalement les solutions 🏷️ de chaque éditeur.  🔎 Les lignes REPÈRE TRANSVERSAL donnent du contexte et ne représentent pas un usage.  — signifie qu’aucune solution claire n’est référencée.</t>
  </si>
  <si>
    <t>🧭 Agent d’exécution / délégation de tâches</t>
  </si>
  <si>
    <t>🎯 Je délègue une mission complexe et multiétape à une IA qui planifie, utilise des outils et me livre un résultat</t>
  </si>
  <si>
    <t>🏷️ Copilot Cowork</t>
  </si>
  <si>
    <t>🏷️ Claude Cowork</t>
  </si>
  <si>
    <t>🏷️ ChatGPT agent / Workspace agents (dans ChatGPT Work)</t>
  </si>
  <si>
    <t>🏷️ Now Assist AI Agents</t>
  </si>
  <si>
    <t>🏷️ Joule Agents</t>
  </si>
  <si>
    <t>🏷️ Oracle AI Agents</t>
  </si>
  <si>
    <t>🏷️ Rovo Agents</t>
  </si>
  <si>
    <t>🏷️ Amazon Q / Bedrock Agents</t>
  </si>
  <si>
    <t>🏷️ Zapier Agents</t>
  </si>
  <si>
    <t>🎯 L’IA accompagne le travail quotidien : rédaction, recherche, documents, présentations, tableaux et données d’entreprise. Exemples de capacités spécifiques : Copilot Cowork chez Microsoft et ChatGPT Work chez OpenAI.</t>
  </si>
  <si>
    <t>🏷️ ChatGPT Work (inclus avec ChatGPT Business / Enterprise)</t>
  </si>
  <si>
    <t>🏷️ OpenAI : GPT, ChatGPT Work, ChatGPT agent, Workspace agents, Codex, API / Responses API, Agents SDK et OpenAI Frontier</t>
  </si>
  <si>
    <t>🏷️ GPTs personnalisés / Workspace agents</t>
  </si>
  <si>
    <t>🏷️ Agent Builder / Responses API</t>
  </si>
  <si>
    <t>🏷️ Responses API / Agents SDK</t>
  </si>
  <si>
    <t>🏷️ ChatGPT Work / Workspace agents (tâches planifiées)</t>
  </si>
  <si>
    <t>🏷️ Codex dans ChatGPT</t>
  </si>
  <si>
    <t>🏷️ Deep Research / Company Knowledge / File Search</t>
  </si>
  <si>
    <t>🏷️ Analyse de données dans ChatGPT</t>
  </si>
  <si>
    <t>🏷️ Contrôles admin ChatGPT / OpenAI Frontier</t>
  </si>
  <si>
    <t>🏷️ ChatGPT Images</t>
  </si>
  <si>
    <t>🏷️ ChatGPT Voice / Whisper API</t>
  </si>
  <si>
    <t>🔎 Recherche guidée dans l’Atlas IA</t>
  </si>
  <si>
    <t>Décrivez votre besoin avec quelques mots-clés : la recherche parcourt les catégories, les intentions et toutes les solutions référencées.</t>
  </si>
  <si>
    <t>Conseil : utilisez 2 à 5 mots significatifs, par exemple « analyser données », « créer agent », « sécuriser IA », « préparer réunion » ou « automatiser tâches ». Les mots fréquents comme « je veux » sont moins utiles.</t>
  </si>
  <si>
    <t>Pertinence</t>
  </si>
  <si>
    <t>Catégorie / repère</t>
  </si>
  <si>
    <t>Besoin couvert</t>
  </si>
  <si>
    <t>Solutions associées</t>
  </si>
  <si>
    <t>Index recherche — solutions</t>
  </si>
  <si>
    <t>📚 Recherche dans le Glossaire IA</t>
  </si>
  <si>
    <t>Saisissez un terme, une catégorie ou quelques mots de description : les résultats correspondants apparaissent immédiatement.</t>
  </si>
  <si>
    <t>Exemples : RAG, Copilot, sécurité, modèle, données, raisonnement, agent autonome. La recherche accepte également une partie d’un mot.</t>
  </si>
  <si>
    <t>GLOSSAIRE COMPLET — source de référence</t>
  </si>
  <si>
    <t>🤖 Recherche dans l’Atlas des agents</t>
  </si>
  <si>
    <t>Recherchez un agent par son nom, son outil, sa description, un cas d’usage ou le moment où l’utiliser. Laissez le champ vide pour afficher les 24 agents.</t>
  </si>
  <si>
    <t>Exemples : présentation, recherche, réunion, SharePoint, RH, ventes, rédaction, analyse. La recherche accepte aussi une partie d’un mot.</t>
  </si>
  <si>
    <t>Cas d’usage / Prompts</t>
  </si>
  <si>
    <t>Quand l’utiliser</t>
  </si>
  <si>
    <t>CATALOGUE COMPLET DES AGENTS — source de référence</t>
  </si>
  <si>
    <t>🎓 Recherche dans les certifications et Applied Skills</t>
  </si>
  <si>
    <t>Recherchez par code, niveau, filière, public, objectif, compétence, priorité ou prix. Laissez le champ vide pour afficher tout le parcours recommandé.</t>
  </si>
  <si>
    <t>Exemples : Copilot, débutant, agent, business, gratuit, Power Platform, data, immédiate, AB-620.</t>
  </si>
  <si>
    <t>PARCOURS COMPLET — source de référence</t>
  </si>
  <si>
    <t>📚 Bibliothèque expérimentale de prompts</t>
  </si>
  <si>
    <t>Référentiel versionné : chaque prompt conserve sa source, ses variables, son statut de test et ses conditions de réutilisation.</t>
  </si>
  <si>
    <t>ID</t>
  </si>
  <si>
    <t>Besoin / intention</t>
  </si>
  <si>
    <t>Métier</t>
  </si>
  <si>
    <t>Application</t>
  </si>
  <si>
    <t>Tâche</t>
  </si>
  <si>
    <t>Variables</t>
  </si>
  <si>
    <t>Prérequis</t>
  </si>
  <si>
    <t>Résultat attendu</t>
  </si>
  <si>
    <t>Technique</t>
  </si>
  <si>
    <t>Source</t>
  </si>
  <si>
    <t>URL source</t>
  </si>
  <si>
    <t>Auteur</t>
  </si>
  <si>
    <t>Licence</t>
  </si>
  <si>
    <t>Date collecte</t>
  </si>
  <si>
    <t>Statut</t>
  </si>
  <si>
    <t>Nature source</t>
  </si>
  <si>
    <t>P-001</t>
  </si>
  <si>
    <t>Analyser un classeur</t>
  </si>
  <si>
    <t>Analyser des données et identifier les enseignements clés</t>
  </si>
  <si>
    <t>Analyse de données</t>
  </si>
  <si>
    <t>Analyste / Finance</t>
  </si>
  <si>
    <t>Analyse</t>
  </si>
  <si>
    <t>Analyze this workbook and give me interesting data insights.</t>
  </si>
  <si>
    <t>[classeur]</t>
  </si>
  <si>
    <t>Classeur ouvert et données structurées</t>
  </si>
  <si>
    <t>Insights, tendances et anomalies</t>
  </si>
  <si>
    <t>Instruction directe</t>
  </si>
  <si>
    <t>Microsoft Prompt Gallery</t>
  </si>
  <si>
    <t>https://adoption.microsoft.com/en-us/copilot/prompt-gallery/</t>
  </si>
  <si>
    <t>Réutilisation à vérifier</t>
  </si>
  <si>
    <t>À tester</t>
  </si>
  <si>
    <t>Officiel</t>
  </si>
  <si>
    <t>P-002</t>
  </si>
  <si>
    <t>Détecter tendances et anomalies</t>
  </si>
  <si>
    <t>Comprendre rapidement un fichier de données</t>
  </si>
  <si>
    <t>Analyze this file and describe any important trends, outliers, or anomalies. Suggest possible explanations and next steps.</t>
  </si>
  <si>
    <t>[fichier]</t>
  </si>
  <si>
    <t>Fichier de données joint ou ouvert</t>
  </si>
  <si>
    <t>Analyse structurée et recommandations</t>
  </si>
  <si>
    <t>Analyse + recommandations</t>
  </si>
  <si>
    <t>P-003</t>
  </si>
  <si>
    <t>Créer un plan de ventes Excel</t>
  </si>
  <si>
    <t>Créer un classeur opérationnel structuré</t>
  </si>
  <si>
    <t>Création de contenu</t>
  </si>
  <si>
    <t>Ventes</t>
  </si>
  <si>
    <t>Création</t>
  </si>
  <si>
    <t>Create a workbook called "Q2 Sales Plan" with sheets for Pipeline, Actuals, Forecast, and Actions. Add clear headers and a summary view.</t>
  </si>
  <si>
    <t>[période] [structure]</t>
  </si>
  <si>
    <t>Excel avec Copilot</t>
  </si>
  <si>
    <t>Classeur multi-feuilles</t>
  </si>
  <si>
    <t>Objectif + structure de sortie</t>
  </si>
  <si>
    <t>P-004</t>
  </si>
  <si>
    <t>Budget : variance et prévision</t>
  </si>
  <si>
    <t>Comparer réalisé et prévision</t>
  </si>
  <si>
    <t>Finance</t>
  </si>
  <si>
    <t>Finance / Management</t>
  </si>
  <si>
    <t>Create this month’s budget variance and forecast update. Compare actuals to budget, highlight material variances, and summarize likely causes.</t>
  </si>
  <si>
    <t>[mois] [seuil de matérialité]</t>
  </si>
  <si>
    <t>Données budget et réalisé disponibles</t>
  </si>
  <si>
    <t>Tableau de variance et synthèse</t>
  </si>
  <si>
    <t>Analyse financière structurée</t>
  </si>
  <si>
    <t>P-005</t>
  </si>
  <si>
    <t>Tester une hypothèse financière</t>
  </si>
  <si>
    <t>Mesurer l'impact d'un changement d'hypothèse</t>
  </si>
  <si>
    <t>Finance / Stratégie</t>
  </si>
  <si>
    <t>Simulation</t>
  </si>
  <si>
    <t>What is the impact of [change in assumption] on [financial metric]? Show the calculation, key sensitivities, and a concise interpretation.</t>
  </si>
  <si>
    <t>[hypothèse] [métrique]</t>
  </si>
  <si>
    <t>Modèle financier disponible</t>
  </si>
  <si>
    <t>Impact chiffré et sensibilités</t>
  </si>
  <si>
    <t>What-if / sensibilité</t>
  </si>
  <si>
    <t>P-006</t>
  </si>
  <si>
    <t>Résumer les e-mails urgents</t>
  </si>
  <si>
    <t>Prioriser rapidement sa messagerie</t>
  </si>
  <si>
    <t>Productivité</t>
  </si>
  <si>
    <t>Tous métiers</t>
  </si>
  <si>
    <t>Outlook</t>
  </si>
  <si>
    <t>Synthèse</t>
  </si>
  <si>
    <t>Please summarize the emails I've received over the past two weeks and prioritize them based on urgency. Include sender, topic, requested action, and deadline.</t>
  </si>
  <si>
    <t>[période]</t>
  </si>
  <si>
    <t>Accès à Outlook</t>
  </si>
  <si>
    <t>Tableau priorisé</t>
  </si>
  <si>
    <t>Synthèse + priorisation</t>
  </si>
  <si>
    <t>P-007</t>
  </si>
  <si>
    <t>Identifier qui attend une réponse</t>
  </si>
  <si>
    <t>Repérer les demandes en attente</t>
  </si>
  <si>
    <t>Find emails in the past 48 hours where someone is waiting on me. List the sender, request, urgency, and recommended next action.</t>
  </si>
  <si>
    <t>Liste d'actions</t>
  </si>
  <si>
    <t>Recherche contextuelle</t>
  </si>
  <si>
    <t>P-008</t>
  </si>
  <si>
    <t>Organiser sa boîte de réception</t>
  </si>
  <si>
    <t>Trier les e-mails et décider des actions</t>
  </si>
  <si>
    <t>Organisation</t>
  </si>
  <si>
    <t>You are my email analyst. Review all unread emails in my Outlook inbox and summarize each one in a structured table with urgency, action needed, owner, and due date.</t>
  </si>
  <si>
    <t>[règles de priorité]</t>
  </si>
  <si>
    <t>Tableau de triage</t>
  </si>
  <si>
    <t>Rôle + format contraint</t>
  </si>
  <si>
    <t>P-009</t>
  </si>
  <si>
    <t>Préparer une réunion client</t>
  </si>
  <si>
    <t>Arriver préparé avec le contexte utile</t>
  </si>
  <si>
    <t>Réunions</t>
  </si>
  <si>
    <t>Ventes / Conseil</t>
  </si>
  <si>
    <t>Outlook / Teams</t>
  </si>
  <si>
    <t>Préparation</t>
  </si>
  <si>
    <t>Prepare me for my upcoming customer meeting with [Customer name]. Pull together recent emails, meetings, files, open actions, risks, and suggested questions.</t>
  </si>
  <si>
    <t>[client]</t>
  </si>
  <si>
    <t>Accès aux données Microsoft 365</t>
  </si>
  <si>
    <t>Brief de réunion</t>
  </si>
  <si>
    <t>Grounding multi-source</t>
  </si>
  <si>
    <t>P-010</t>
  </si>
  <si>
    <t>Extraire les actions d'une réunion</t>
  </si>
  <si>
    <t>Transformer une réunion en plan d'action</t>
  </si>
  <si>
    <t>Extraction</t>
  </si>
  <si>
    <t>Identify and list all action items agreed upon during the meeting, including owner, due date, dependencies, and unresolved questions.</t>
  </si>
  <si>
    <t>[réunion]</t>
  </si>
  <si>
    <t>Transcription ou notes disponibles</t>
  </si>
  <si>
    <t>Plan d'action structuré</t>
  </si>
  <si>
    <t>Extraction structurée</t>
  </si>
  <si>
    <t>P-011</t>
  </si>
  <si>
    <t>Recenser les questions ouvertes</t>
  </si>
  <si>
    <t>Identifier ce qui reste à résoudre</t>
  </si>
  <si>
    <t>List all open questions raised during the meeting that have not yet been answered or resolved. Group them by topic and suggest an owner.</t>
  </si>
  <si>
    <t>Registre des questions ouvertes</t>
  </si>
  <si>
    <t>Extraction + regroupement</t>
  </si>
  <si>
    <t>P-012</t>
  </si>
  <si>
    <t>Rédiger un point projet</t>
  </si>
  <si>
    <t>Synthétiser le statut d'une initiative</t>
  </si>
  <si>
    <t>Gestion de projet</t>
  </si>
  <si>
    <t>Chef de projet</t>
  </si>
  <si>
    <t>Copilot Chat / Teams</t>
  </si>
  <si>
    <t>Draft a project update based on emails, chats, and meetings in [project]. Include progress, decisions, risks, blockers, actions, and next milestones.</t>
  </si>
  <si>
    <t>[projet] [période]</t>
  </si>
  <si>
    <t>Accès aux sources projet</t>
  </si>
  <si>
    <t>Note de statut exécutive</t>
  </si>
  <si>
    <t>Synthèse multi-source</t>
  </si>
  <si>
    <t>P-013</t>
  </si>
  <si>
    <t>Planifier un lancement produit</t>
  </si>
  <si>
    <t>Construire un plan de lancement actionnable</t>
  </si>
  <si>
    <t>Produit / Marketing</t>
  </si>
  <si>
    <t>Planification</t>
  </si>
  <si>
    <t>Build a clear product launch plan for [Product name]. Compare it to [Competitors], define audiences, messages, channels, milestones, owners, risks, and success metrics.</t>
  </si>
  <si>
    <t>[produit] [concurrents]</t>
  </si>
  <si>
    <t>Contexte produit disponible</t>
  </si>
  <si>
    <t>Plan de lancement</t>
  </si>
  <si>
    <t>Planification + comparaison</t>
  </si>
  <si>
    <t>P-014</t>
  </si>
  <si>
    <t>Recherche approfondie</t>
  </si>
  <si>
    <t>Explorer un sujet avec sources et angles</t>
  </si>
  <si>
    <t>Researcher / Copilot Chat</t>
  </si>
  <si>
    <t>I'm interested in conducting thorough research on [TOPIC]. Provide key questions, primary sources, competing viewpoints, evidence, uncertainties, and a concise executive summary.</t>
  </si>
  <si>
    <t>[sujet] [périmètre]</t>
  </si>
  <si>
    <t>Accès web ou sources métier</t>
  </si>
  <si>
    <t>Rapport de recherche sourcé</t>
  </si>
  <si>
    <t>Deep research</t>
  </si>
  <si>
    <t>P-015</t>
  </si>
  <si>
    <t>Analyser une entreprise</t>
  </si>
  <si>
    <t>Préparer une analyse d'entreprise structurée</t>
  </si>
  <si>
    <t>Stratégie / Ventes</t>
  </si>
  <si>
    <t>Help me analyze a company. If I do not provide one, ask me which company. Cover business model, market, competitors, financial signals, risks, recent news, and sources.</t>
  </si>
  <si>
    <t>[entreprise]</t>
  </si>
  <si>
    <t>Accès web</t>
  </si>
  <si>
    <t>Analyse d'entreprise</t>
  </si>
  <si>
    <t>Questions de clarification + recherche</t>
  </si>
  <si>
    <t>P-016</t>
  </si>
  <si>
    <t>Créer une présentation exécutive</t>
  </si>
  <si>
    <t>Transformer un document en présentation</t>
  </si>
  <si>
    <t>Présentation</t>
  </si>
  <si>
    <t>Management / Conseil</t>
  </si>
  <si>
    <t>Create a presentation from [file] summarizing the key requirements, decisions, risks, and recommended next steps for an executive audience.</t>
  </si>
  <si>
    <t>[fichier] [public]</t>
  </si>
  <si>
    <t>Document source joint</t>
  </si>
  <si>
    <t>Présentation exécutive</t>
  </si>
  <si>
    <t>Transformation de format</t>
  </si>
  <si>
    <t>P-017</t>
  </si>
  <si>
    <t>Améliorer une présentation</t>
  </si>
  <si>
    <t>Contrôler cohérence et marque</t>
  </si>
  <si>
    <t>Communication</t>
  </si>
  <si>
    <t>Révision</t>
  </si>
  <si>
    <t>Review my presentation for inconsistencies with [brand guidelines]. Identify issues in message, structure, terminology, visuals, and accessibility, then suggest precise edits.</t>
  </si>
  <si>
    <t>[charte]</t>
  </si>
  <si>
    <t>Présentation et charte disponibles</t>
  </si>
  <si>
    <t>Liste de corrections</t>
  </si>
  <si>
    <t>Revue avec critères</t>
  </si>
  <si>
    <t>P-018</t>
  </si>
  <si>
    <t>Créer des idées de brainstorming</t>
  </si>
  <si>
    <t>Lancer une session d'idéation</t>
  </si>
  <si>
    <t>Créativité</t>
  </si>
  <si>
    <t>Idéation</t>
  </si>
  <si>
    <t>Generate a list of creative ideas for an ideation session about [theme]. Group ideas by ambition, feasibility, and expected impact, then propose three discussion questions.</t>
  </si>
  <si>
    <t>[thème]</t>
  </si>
  <si>
    <t>Objectif de la session défini</t>
  </si>
  <si>
    <t>Idées classées</t>
  </si>
  <si>
    <t>Divergence + classement</t>
  </si>
  <si>
    <t>P-019</t>
  </si>
  <si>
    <t>Réécrire avec clarté</t>
  </si>
  <si>
    <t>Rendre un texte plus clair et concis</t>
  </si>
  <si>
    <t>Rédaction</t>
  </si>
  <si>
    <t>Réécriture</t>
  </si>
  <si>
    <t>Can you help me rewrite this paragraph to make it clearer and more concise? Preserve the meaning, flag any ambiguity, and provide one polished version.</t>
  </si>
  <si>
    <t>[texte]</t>
  </si>
  <si>
    <t>Texte fourni</t>
  </si>
  <si>
    <t>Version réécrite</t>
  </si>
  <si>
    <t>Réécriture contrainte</t>
  </si>
  <si>
    <t>P-020</t>
  </si>
  <si>
    <t>Résumer un document</t>
  </si>
  <si>
    <t>Extraire rapidement l'essentiel</t>
  </si>
  <si>
    <t>Summarize this document in a bulleted list of key points. Separate facts, decisions, risks, actions, and unanswered questions.</t>
  </si>
  <si>
    <t>[document]</t>
  </si>
  <si>
    <t>Document ouvert ou joint</t>
  </si>
  <si>
    <t>Synthèse structurée</t>
  </si>
  <si>
    <t>Résumé structuré</t>
  </si>
  <si>
    <t>P-021</t>
  </si>
  <si>
    <t>Répondre à un e-mail</t>
  </si>
  <si>
    <t>Rédiger une réponse précise et appropriée</t>
  </si>
  <si>
    <t>Draft a reply that acknowledges the sender's main points and responds clearly. Use a [tone] tone, keep it under [length], and end with the next action.</t>
  </si>
  <si>
    <t>[ton] [longueur]</t>
  </si>
  <si>
    <t>E-mail sélectionné</t>
  </si>
  <si>
    <t>Réponse prête à relire</t>
  </si>
  <si>
    <t>Contraintes de ton et longueur</t>
  </si>
  <si>
    <t>P-022</t>
  </si>
  <si>
    <t>Préparer une passation d'absence</t>
  </si>
  <si>
    <t>Assurer la continuité pendant une absence</t>
  </si>
  <si>
    <t>I'll be out of the office from [date] to [date]. Create a clear handover that lists active topics, status, owners, deadlines, risks, and escalation contacts.</t>
  </si>
  <si>
    <t>[dates] [contacts]</t>
  </si>
  <si>
    <t>Accès aux sujets en cours</t>
  </si>
  <si>
    <t>Document de passation</t>
  </si>
  <si>
    <t>Synthèse + plan d'action</t>
  </si>
  <si>
    <t>P-023</t>
  </si>
  <si>
    <t>Comparer plusieurs fichiers</t>
  </si>
  <si>
    <t>Identifier les différences significatives</t>
  </si>
  <si>
    <t>Analyse documentaire</t>
  </si>
  <si>
    <t>Juridique / Projet</t>
  </si>
  <si>
    <t>Copilot Chat / Word</t>
  </si>
  <si>
    <t>Comparaison</t>
  </si>
  <si>
    <t>Compare these files grouped by differences in formatting, structure, and content. Highlight material changes, contradictions, omissions, and items requiring review.</t>
  </si>
  <si>
    <t>[fichiers]</t>
  </si>
  <si>
    <t>Plusieurs fichiers joints</t>
  </si>
  <si>
    <t>Matrice comparative</t>
  </si>
  <si>
    <t>Comparaison multi-document</t>
  </si>
  <si>
    <t>P-024</t>
  </si>
  <si>
    <t>Évaluer une solution IT</t>
  </si>
  <si>
    <t>Créer une analyse de décision structurée</t>
  </si>
  <si>
    <t>IT / Architecture</t>
  </si>
  <si>
    <t>Produit / IT</t>
  </si>
  <si>
    <t>Évaluation</t>
  </si>
  <si>
    <t>I am an IT Product Manager evaluating [solution]. Draft an evaluation covering business fit, architecture, integration, security, governance, cost, risks, alternatives, and recommendation.</t>
  </si>
  <si>
    <t>[solution] [contraintes]</t>
  </si>
  <si>
    <t>Contexte et critères disponibles</t>
  </si>
  <si>
    <t>Dossier d'évaluation</t>
  </si>
  <si>
    <t>Cadre de décision</t>
  </si>
  <si>
    <t>🧪 Laboratoire et moteur de recherche de prompts</t>
  </si>
  <si>
    <t>Décrivez votre besoin, puis affinez éventuellement par outil, catégorie ou niveau. Champ vide = bibliothèque complète.</t>
  </si>
  <si>
    <t>Outil (optionnel)</t>
  </si>
  <si>
    <t>Catégorie (optionnel)</t>
  </si>
  <si>
    <t>Niveau (optionnel)</t>
  </si>
  <si>
    <t>Statut (optionnel)</t>
  </si>
  <si>
    <t>COMMENT ENRICHIR LE LABORATOIRE</t>
  </si>
  <si>
    <t>Les prompts collectés arrivent avec le statut « À tester ». Après essai, renseignez la grille d’évaluation, documentez le modèle et le résultat, puis passez le statut à « Validé » uniquement si le prompt est réutilisable et sourcé.</t>
  </si>
  <si>
    <t>🌐 Sources et politique de collecte des prompts</t>
  </si>
  <si>
    <t>Registre des sources autorisées, de leur fiabilité et des conditions de réutilisation. La collecte automatique doit toujours conserver l’URL et placer les nouveautés en relecture.</t>
  </si>
  <si>
    <t>Type</t>
  </si>
  <si>
    <t>URL</t>
  </si>
  <si>
    <t>Fiabilité</t>
  </si>
  <si>
    <t>Licence / réutilisation</t>
  </si>
  <si>
    <t>Règle de collecte</t>
  </si>
  <si>
    <t>Microsoft Copilot Prompt Gallery</t>
  </si>
  <si>
    <t>Officielle</t>
  </si>
  <si>
    <t>https://adoption.microsoft.com/fr-fr/copilot/prompt-gallery/</t>
  </si>
  <si>
    <t>Très élevée</t>
  </si>
  <si>
    <t>Vérifier les conditions Microsoft</t>
  </si>
  <si>
    <t>Collecter titre, fonction, produit, tâche et texte ; statut À tester</t>
  </si>
  <si>
    <t>OpenAI Prompting Guide</t>
  </si>
  <si>
    <t>https://developers.openai.com/api/docs/guides/prompting</t>
  </si>
  <si>
    <t>Documentation OpenAI</t>
  </si>
  <si>
    <t>Collecter techniques et pratiques ; versionner et tester</t>
  </si>
  <si>
    <t>Documentation Anthropic</t>
  </si>
  <si>
    <t>Collecter prompts et patterns avec URL exacte</t>
  </si>
  <si>
    <t>Google Gemini Prompt Gallery</t>
  </si>
  <si>
    <t>https://ai.google.dev/gemini-api/prompts</t>
  </si>
  <si>
    <t>Documentation Google</t>
  </si>
  <si>
    <t>Collecter exemples avec modèle et modalité</t>
  </si>
  <si>
    <t>Communautaire</t>
  </si>
  <si>
    <t>Moyenne</t>
  </si>
  <si>
    <t>Vérifier la licence du dépôt</t>
  </si>
  <si>
    <t>Importer uniquement après dédoublonnage et revue</t>
  </si>
  <si>
    <t>Variable</t>
  </si>
  <si>
    <t>Vérifier auteur et conditions</t>
  </si>
  <si>
    <t>Ne jamais publier sans revue humaine</t>
  </si>
  <si>
    <t>Hugging Face Datasets</t>
  </si>
  <si>
    <t>Communautaire / datasets</t>
  </si>
  <si>
    <t>https://huggingface.co/datasets</t>
  </si>
  <si>
    <t>Vérifier la licence de chaque dataset</t>
  </si>
  <si>
    <t>Conserver dataset, version, licence et auteur</t>
  </si>
  <si>
    <t>✅ Grille d’évaluation et de validation des prompts</t>
  </si>
  <si>
    <t>Échelle 1 à 5. Un prompt reste expérimental tant que les notes et le test réel ne sont pas renseignés.</t>
  </si>
  <si>
    <t>Prompt ID</t>
  </si>
  <si>
    <t>Modèle testé</t>
  </si>
  <si>
    <t>Date test</t>
  </si>
  <si>
    <t>Clarté</t>
  </si>
  <si>
    <t>Respect consignes</t>
  </si>
  <si>
    <t>Exactitude</t>
  </si>
  <si>
    <t>Réutilisabilité</t>
  </si>
  <si>
    <t>Qualité format</t>
  </si>
  <si>
    <t>Score moyen</t>
  </si>
  <si>
    <t>Notes de test</t>
  </si>
  <si>
    <t>Non testé</t>
  </si>
  <si>
    <t>À évaluer</t>
  </si>
  <si>
    <t>Glossaire structuré</t>
  </si>
  <si>
    <t>Usages et repères comparés</t>
  </si>
  <si>
    <t>Catalogue Microsoft 365</t>
  </si>
  <si>
    <t>Bibliothèque sourcée</t>
  </si>
  <si>
    <t>Certifications et Applied Skills</t>
  </si>
  <si>
    <t>Registre de collecte des prompts</t>
  </si>
  <si>
    <t>EXPLORER L’ATLAS</t>
  </si>
  <si>
    <t>Décrivez votre besoin et obtenez les catégories et solutions associées.</t>
  </si>
  <si>
    <t>Comparez les offres, plateformes et technologies de 19 éditeurs.</t>
  </si>
  <si>
    <t>Recherchez et comprenez les notions, patterns, modèles et technologies IA.</t>
  </si>
  <si>
    <t>Identifiez les agents Microsoft 365 adaptés à votre situation.</t>
  </si>
  <si>
    <t>Construisez un parcours de montée en compétences priorisé.</t>
  </si>
  <si>
    <t>Trouvez un prompt par besoin, outil, catégorie, niveau ou statut.</t>
  </si>
  <si>
    <t>Consultez les prompts avec leurs variables, sources et prérequis.</t>
  </si>
  <si>
    <t>Contrôlez la fiabilité, la licence et les règles de collecte.</t>
  </si>
  <si>
    <t>Testez et notez les prompts avant de les recommander.</t>
  </si>
  <si>
    <t>CAS D’USAGE — PAR OÙ COMMENCER ?</t>
  </si>
  <si>
    <t>Je découvre un terme ou un acronyme</t>
  </si>
  <si>
    <t>Commencez par Glossaire : cherchez RAG, MCP, agentique, grounding ou tout autre concept.</t>
  </si>
  <si>
    <t>Je sais ce que je veux faire, mais pas quel outil choisir</t>
  </si>
  <si>
    <t>Utilisez Recherche guidée des solutions, puis comparez les éditeurs dans Usages &amp; Solutions.</t>
  </si>
  <si>
    <t>Je veux comparer Microsoft, OpenAI, Anthropic ou Google</t>
  </si>
  <si>
    <t>Ouvrez Usages &amp; Solutions et lisez horizontalement une catégorie d’usage.</t>
  </si>
  <si>
    <t>Je cherche un agent pour une tâche métier</t>
  </si>
  <si>
    <t>Interrogez Agents par métier, outil, prompt ou moment d’utilisation.</t>
  </si>
  <si>
    <t>Je veux progresser ou obtenir une certification</t>
  </si>
  <si>
    <t>Consultez Certifications pour suivre l’ordre recommandé et les prérequis.</t>
  </si>
  <si>
    <t>Je cherche un prompt prêt à adapter</t>
  </si>
  <si>
    <t>Décrivez votre besoin dans Prompts et utilisez les variables indiquées.</t>
  </si>
  <si>
    <t>Je veux vérifier d’où vient un prompt</t>
  </si>
  <si>
    <t>Consultez Bibliothèque prompts et Sources prompts avant réutilisation.</t>
  </si>
  <si>
    <t>Je veux publier un prompt fiable</t>
  </si>
  <si>
    <t>Testez-le dans Évaluations prompts ; ne le validez qu’après un essai documenté.</t>
  </si>
  <si>
    <t>Je prépare une présentation exécutive</t>
  </si>
  <si>
    <t>Je veux créer un agent-guide de l’Atlas</t>
  </si>
  <si>
    <t>Utilisez les tables sources comme base de connaissances et la taxonomie comme vocabulaire commun.</t>
  </si>
  <si>
    <t>⚡ MOODBOARD V2 — CYBER LAB UNIVERSE</t>
  </si>
  <si>
    <t>Quatre directions issues de votre préférence : interfaces sombres, énergie néon, puissance technologique et finitions premium.</t>
  </si>
  <si>
    <t>01 — CYBER LAB // PRIME</t>
  </si>
  <si>
    <t>La version définitive, plus précise et plus premium.</t>
  </si>
  <si>
    <t>FAVORI — 10/10</t>
  </si>
  <si>
    <t>00E5FF</t>
  </si>
  <si>
    <t>7C3AED</t>
  </si>
  <si>
    <t>FF2D95</t>
  </si>
  <si>
    <t>ATLAS:// KNOWLEDGE CORE</t>
  </si>
  <si>
    <t>Le savoir n’est pas une archive. C’est un système vivant à explorer, tester et activer.</t>
  </si>
  <si>
    <t>LIVE KNOWLEDGE  •  VERIFIED SIGNALS</t>
  </si>
  <si>
    <t>INITIALISER L’EXPLORATION  →</t>
  </si>
  <si>
    <t>SEARCH /</t>
  </si>
  <si>
    <t>SIGNALS /</t>
  </si>
  <si>
    <t>LAB /</t>
  </si>
  <si>
    <t>⌕ explorer</t>
  </si>
  <si>
    <t>⚡ tendances</t>
  </si>
  <si>
    <t>⚗ expérimenter</t>
  </si>
  <si>
    <t>01 — notions</t>
  </si>
  <si>
    <t>02 — agents</t>
  </si>
  <si>
    <t>03 — prompts</t>
  </si>
  <si>
    <t>Puissant • net • iconique</t>
  </si>
  <si>
    <t>Le meilleur équilibre entre sérieux, énergie et identité AI native. Néon maîtrisé, panneaux techniques et données très lisibles.</t>
  </si>
  <si>
    <t>02 — CYBER PULSE</t>
  </si>
  <si>
    <t>Plus vif, plus brutal, presque une interface de mission.</t>
  </si>
  <si>
    <t>HIGH ENERGY — 10/10</t>
  </si>
  <si>
    <t>00FFB2</t>
  </si>
  <si>
    <t>00A3FF</t>
  </si>
  <si>
    <t>FFB000</t>
  </si>
  <si>
    <t>MISSION CONTROL // AI</t>
  </si>
  <si>
    <t>SIGNALS 17  •  AGENTS 24  •  STATUS ONLINE</t>
  </si>
  <si>
    <t>ENGAGER LE SYSTÈME  ⚡</t>
  </si>
  <si>
    <t>Tactique • rapide • nerveux</t>
  </si>
  <si>
    <t>Une variante plus opérationnelle : vert acide, bleu électrique, commandes franches et sensation de centre de contrôle.</t>
  </si>
  <si>
    <t>03 — DEEP SPACE LAB</t>
  </si>
  <si>
    <t>Cyber Lab, mais plus spatial, profond et sophistiqué.</t>
  </si>
  <si>
    <t>IMMERSIVE — 9/10</t>
  </si>
  <si>
    <t>8B5CF6</t>
  </si>
  <si>
    <t>22D3EE</t>
  </si>
  <si>
    <t>D8FF3E</t>
  </si>
  <si>
    <t>DEEP FIELD // AI ATLAS</t>
  </si>
  <si>
    <t>VECTOR MAP  •  MODEL SPACE  •  ROUTES SYNC</t>
  </si>
  <si>
    <t>OUVRIR LE PORTAIL  ⟶</t>
  </si>
  <si>
    <t>Cosmique • expert • immersif</t>
  </si>
  <si>
    <t>Plus mystérieux et éditorial que Cyber Lab Prime. Idéal si l’Atlas doit évoquer l’exploration de territoires inconnus.</t>
  </si>
  <si>
    <t>04 — NEON MUSE</t>
  </si>
  <si>
    <t>Une identité girly, adulte, tech et parfaitement finie.</t>
  </si>
  <si>
    <t>GIRLY POWER — 9/10</t>
  </si>
  <si>
    <t>FF4FB8</t>
  </si>
  <si>
    <t>B77CFF</t>
  </si>
  <si>
    <t>58FCEC</t>
  </si>
  <si>
    <t>MUSE:// INTELLIGENCE LAB</t>
  </si>
  <si>
    <t>BRILLIANT MINDS  •  BOLD SIGNALS</t>
  </si>
  <si>
    <t>ACTIVER MA BOUSSOLE  ✦</t>
  </si>
  <si>
    <t>Audacieuse • élégante • magnétique</t>
  </si>
  <si>
    <t>Framboise néon, violet orchidée et cyan glacé. Féminin sans cliché : puissant, précis, premium et résolument contemporain.</t>
  </si>
  <si>
    <t>MON CONSEIL : CYBER LAB // PRIME COMME SOCLE — PUIS DES ACCENTS NEON MUSE POUR LES ZONES CRÉATIVES ET EXPÉRIMENTALES.</t>
  </si>
  <si>
    <t>LE SAVOIR EN MOUVEMENT  •  L’IA EN ACTION</t>
  </si>
  <si>
    <t>🧭 BOUSSOLE DE L’ATLAS — QUELLE EST VOTRE INTENTION ?</t>
  </si>
  <si>
    <t>🔎 COMPRENDRE</t>
  </si>
  <si>
    <t>Décoder une notion, un acronyme ou une technologie → Glossaire</t>
  </si>
  <si>
    <t>🧭 CHOISIR</t>
  </si>
  <si>
    <t>Comparer les usages, éditeurs et solutions → Recherche guidée + Usages &amp; Solutions</t>
  </si>
  <si>
    <t>⚡ AGIR</t>
  </si>
  <si>
    <t>Trouver un agent ou automatiser une tâche → Agents</t>
  </si>
  <si>
    <t>🧪 EXPÉRIMENTER</t>
  </si>
  <si>
    <t>Chercher, adapter et tester un prompt → Prompts + Évaluations</t>
  </si>
  <si>
    <t>🚀 PROGRESSER</t>
  </si>
  <si>
    <t>🧭 Votre besoin</t>
  </si>
  <si>
    <t>🔎 Votre recherche</t>
  </si>
  <si>
    <t>🤖 Votre recherche</t>
  </si>
  <si>
    <t>🚀 Votre recherche</t>
  </si>
  <si>
    <t>🧪 Votre besoin</t>
  </si>
  <si>
    <t>⚡ Score</t>
  </si>
  <si>
    <t>🎯 Besoin / intention</t>
  </si>
  <si>
    <t>🛠 Outil / Application</t>
  </si>
  <si>
    <t>🧪 Prompt</t>
  </si>
  <si>
    <t>📚 Source / ✅ Statut</t>
  </si>
  <si>
    <t>🌱 Découverte</t>
  </si>
  <si>
    <t>🛠 Pratique</t>
  </si>
  <si>
    <t>🧠 Avancé</t>
  </si>
  <si>
    <t>Signal de maturité</t>
  </si>
  <si>
    <t>🚀 Workflows (Frontier)</t>
  </si>
  <si>
    <t>🚀 Workforce Insight (Frontier)</t>
  </si>
  <si>
    <t>🚀 Finance (Frontier)</t>
  </si>
  <si>
    <t>🚀 Sales Development (Frontier)</t>
  </si>
  <si>
    <t>📚 Source</t>
  </si>
  <si>
    <t>✅ Décision</t>
  </si>
  <si>
    <t>Utilisez PPT, Idea Coach et les prompts PowerPoint du laboratoire.</t>
  </si>
  <si>
    <t>1. Face à un sujet IA, tu veux d’abord…</t>
  </si>
  <si>
    <t>2. Ton résultat idéal ressemble plutôt à…</t>
  </si>
  <si>
    <t>3. Ce qui te donne envie de revenir, c’est…</t>
  </si>
  <si>
    <t>Agent du Playbook IA</t>
  </si>
  <si>
    <t>Microsoft 365 Copilot / Copilot Studio</t>
  </si>
  <si>
    <t>Guide conversationnel de l’Atlas qui révèle la couleur IA d’un lecteur, précise son niveau de maturité et transforme son intention en parcours personnalisé.</t>
  </si>
  <si>
    <t>Aide-moi à identifier ma couleur IA
Quel parcours de l’Atlas correspond à mon profil ?
Adapte le parcours à mon audience et à mon niveau de maturité</t>
  </si>
  <si>
    <t>À utiliser dès l’accueil du Playbook pour qualifier l’intention, la maturité et l’audience avant d’orienter vers les bonnes ressources.</t>
  </si>
  <si>
    <t>4. Aujourd’hui, ton prochain pas est de…</t>
  </si>
  <si>
    <t>Vos ressources conseillées</t>
  </si>
  <si>
    <t>Votre prochain défi</t>
  </si>
  <si>
    <t>VOTRE COULEUR IA NE RÉSUME PAS QUI VOUS ÊTES. ELLE ÉCLAIRE VOTRE PROCHAIN POSSIBLE.</t>
  </si>
  <si>
    <t>MODE D’EMPLOI — Cliquez sur chaque réponse en colonne B, puis choisissez une option dans la liste déroulante. Votre couleur, vos ressources et votre prochain défi se mettent à jour automatiquement.</t>
  </si>
  <si>
    <t>● Recherche guidée des solutions</t>
  </si>
  <si>
    <t>● Usages &amp; Solutions</t>
  </si>
  <si>
    <t>● Glossaire</t>
  </si>
  <si>
    <t>● Agents</t>
  </si>
  <si>
    <t>● Certifications</t>
  </si>
  <si>
    <t>● Prompts</t>
  </si>
  <si>
    <t>● Bibliothèque prompts</t>
  </si>
  <si>
    <t>● Sources prompts</t>
  </si>
  <si>
    <t>● Évaluations prompts</t>
  </si>
  <si>
    <t>🧭 EXPLORER</t>
  </si>
  <si>
    <t>Construire son parcours d’apprentissage → Certifications et compétences</t>
  </si>
  <si>
    <t>🧭 ATLAS IA — COMPRENDRE, CHOISIR ET METTRE L’IA EN ACTION</t>
  </si>
  <si>
    <t>Vous utilisez déjà l’IA. Cet Atlas vous aide à découvrir tout ce que vous pourriez en faire de plus.</t>
  </si>
  <si>
    <t>Explorez les notions, comparez les solutions, trouvez des agents et des prompts, puis construisez votre parcours. Commencez par la Boussole — ou révélez votre couleur IA si vous ne savez pas encore par où commencer.</t>
  </si>
  <si>
    <t>🎨 PRÊT À IDENTIFIER TA COULEUR IA ?</t>
  </si>
  <si>
    <t>P-025</t>
  </si>
  <si>
    <t>Renforcer un premier brouillon avec Idea Coach</t>
  </si>
  <si>
    <t>Produire un premier brouillon de présentation plus abouti</t>
  </si>
  <si>
    <t>Idea Coach / PowerPoint</t>
  </si>
  <si>
    <t>[présentation]</t>
  </si>
  <si>
    <t>Présentation en préparation</t>
  </si>
  <si>
    <t>Premier brouillon renforcé</t>
  </si>
  <si>
    <t>Agent de coaching</t>
  </si>
  <si>
    <t>PPT — Tableau3</t>
  </si>
  <si>
    <t>Utilisateur</t>
  </si>
  <si>
    <t>Interne — réutilisation à valider</t>
  </si>
  <si>
    <t>2026-08-14T00:00:00.000Z</t>
  </si>
  <si>
    <t>Interne</t>
  </si>
  <si>
    <t>P-026</t>
  </si>
  <si>
    <t>Anticiper les questions d’un public exécutif</t>
  </si>
  <si>
    <t>Préparer les questions probables après une diapositive</t>
  </si>
  <si>
    <t>Direction / Stratégie</t>
  </si>
  <si>
    <t>[diapositive] [public]</t>
  </si>
  <si>
    <t>Présentation ouverte</t>
  </si>
  <si>
    <t>Questions probables du public</t>
  </si>
  <si>
    <t>Anticipation du public</t>
  </si>
  <si>
    <t>P-027</t>
  </si>
  <si>
    <t>Détecter un écart logique entre deux diapositives</t>
  </si>
  <si>
    <t>Renforcer la continuité narrative d’une présentation</t>
  </si>
  <si>
    <t>[diapositives]</t>
  </si>
  <si>
    <t>Diagnostic et proposition de liaison</t>
  </si>
  <si>
    <t>Analyse narrative</t>
  </si>
  <si>
    <t>P-028</t>
  </si>
  <si>
    <t>Anticiper le pushback et renforcer les preuves</t>
  </si>
  <si>
    <t>Identifier une affirmation fragile et les données nécessaires</t>
  </si>
  <si>
    <t>[présentation] [données]</t>
  </si>
  <si>
    <t>Risque de contestation et preuves recommandées</t>
  </si>
  <si>
    <t>Critique + recommandation</t>
  </si>
  <si>
    <t>P-029</t>
  </si>
  <si>
    <t>Vérifier l’arc problème-solution-résultat</t>
  </si>
  <si>
    <t>Évaluer la structure narrative d’une présentation</t>
  </si>
  <si>
    <t>Diagnostic de structure narrative</t>
  </si>
  <si>
    <t>Cadre narratif</t>
  </si>
  <si>
    <t>P-030</t>
  </si>
  <si>
    <t>Générer un visuel professionnel photoréaliste</t>
  </si>
  <si>
    <t>Créer une image de collaboration autour des données</t>
  </si>
  <si>
    <t>Génération d’images</t>
  </si>
  <si>
    <t>Communication / Marketing</t>
  </si>
  <si>
    <t>PowerPoint / Designer</t>
  </si>
  <si>
    <t>[sujet] [style] [ambiance]</t>
  </si>
  <si>
    <t>Génération d’images disponible</t>
  </si>
  <si>
    <t>Image photoréaliste exploitable</t>
  </si>
  <si>
    <t>Description visuelle détaillée</t>
  </si>
  <si>
    <t>P-031</t>
  </si>
  <si>
    <t>Résumer les modifications d’une présentation</t>
  </si>
  <si>
    <t>Obtenir une synthèse des changements apportés</t>
  </si>
  <si>
    <t>Présentation modifiée</t>
  </si>
  <si>
    <t>Résumé des modifications</t>
  </si>
  <si>
    <t>Synthèse directe</t>
  </si>
  <si>
    <t>P-032</t>
  </si>
  <si>
    <t>Générer des notes du présentateur concises</t>
  </si>
  <si>
    <t>Créer des notes à puces qui complètent les diapositives</t>
  </si>
  <si>
    <t>[présentation] [public]</t>
  </si>
  <si>
    <t>Notes du présentateur structurées</t>
  </si>
  <si>
    <t>Contraintes de format et de public</t>
  </si>
  <si>
    <t>P-033</t>
  </si>
  <si>
    <t>Rendre les notes plus conversationnelles</t>
  </si>
  <si>
    <t>Adapter le ton des notes à une réunion interne</t>
  </si>
  <si>
    <t>Management</t>
  </si>
  <si>
    <t>[diapositive] [ton]</t>
  </si>
  <si>
    <t>Notes du présentateur existantes</t>
  </si>
  <si>
    <t>Notes au ton conversationnel</t>
  </si>
  <si>
    <t>Transformation de ton</t>
  </si>
  <si>
    <t>P-034</t>
  </si>
  <si>
    <t>Renforcer l’autorité des notes pour un directeur financier</t>
  </si>
  <si>
    <t>Projeter de la confiance lors d’une présentation financière</t>
  </si>
  <si>
    <t>Finance / Direction</t>
  </si>
  <si>
    <t>Notes et chiffres de ROI disponibles</t>
  </si>
  <si>
    <t>Notes plus affirmées et crédibles</t>
  </si>
  <si>
    <t>Ton + persona</t>
  </si>
  <si>
    <t>P-035</t>
  </si>
  <si>
    <t>Condenser les notes en trois puces</t>
  </si>
  <si>
    <t>Réduire les notes pour faciliter la prise de parole</t>
  </si>
  <si>
    <t>[diapositive] [longueur]</t>
  </si>
  <si>
    <t>Trois puces concises</t>
  </si>
  <si>
    <t>Contrainte de longueur</t>
  </si>
  <si>
    <t>P-036</t>
  </si>
  <si>
    <t>Développer les notes avec le contexte APAC</t>
  </si>
  <si>
    <t>Ajouter du contexte pour répondre aux questions de suivi</t>
  </si>
  <si>
    <t>Stratégie / International</t>
  </si>
  <si>
    <t>Enrichissement</t>
  </si>
  <si>
    <t>[diapositive] [marché]</t>
  </si>
  <si>
    <t>Données de marché disponibles</t>
  </si>
  <si>
    <t>Notes enrichies et contextualisées</t>
  </si>
  <si>
    <t>Enrichissement contextuel</t>
  </si>
  <si>
    <t>P-037</t>
  </si>
  <si>
    <t>Adapter les notes à un public technique</t>
  </si>
  <si>
    <t>Réécrire les notes pour des responsables techniques</t>
  </si>
  <si>
    <t>IT / Produit</t>
  </si>
  <si>
    <t>Notes techniques détaillées</t>
  </si>
  <si>
    <t>Adaptation au public</t>
  </si>
  <si>
    <t>P-038</t>
  </si>
  <si>
    <t>Simplifier les notes pour des non-anglophones</t>
  </si>
  <si>
    <t>Rendre les notes accessibles avec une formulation simple</t>
  </si>
  <si>
    <t>International / Communication</t>
  </si>
  <si>
    <t>Notes en langage simple</t>
  </si>
  <si>
    <t>Simplification linguistique</t>
  </si>
  <si>
    <t>P-039</t>
  </si>
  <si>
    <t>Ajouter une transition entre diapositives</t>
  </si>
  <si>
    <t>Relier naturellement deux parties de la présentation</t>
  </si>
  <si>
    <t>Phrase de transition naturelle</t>
  </si>
  <si>
    <t>Signal de transition</t>
  </si>
  <si>
    <t>P-040</t>
  </si>
  <si>
    <t>Ajouter une pause et inviter aux questions</t>
  </si>
  <si>
    <t>Créer un moment d’interaction avec le public</t>
  </si>
  <si>
    <t>Pause et invitation à réagir</t>
  </si>
  <si>
    <t>Signal de présentation</t>
  </si>
  <si>
    <t>💬 VOUS PARLEZ À L’IA. MAIS QUE SAVEZ-VOUS VRAIMENT LUI DÉLÉGUER ?</t>
  </si>
  <si>
    <t>automatiser mon travail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</si>
</sst>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6" x14ac:knownFonts="1">
    <font>
      <sz val="11"/>
      <color theme="1"/>
      <name val="Aptos Narrow"/>
      <family val="2"/>
      <scheme val="minor"/>
    </font>
    <font>
      <b/>
      <sz val="11"/>
      <color theme="1"/>
      <name val="Aptos Narrow"/>
      <family val="2"/>
      <scheme val="minor"/>
    </font>
    <font>
      <u/>
      <sz val="11"/>
      <color theme="10"/>
      <name val="Aptos Narrow"/>
      <family val="2"/>
      <scheme val="minor"/>
    </font>
    <font>
      <sz val="8"/>
      <name val="Aptos Narrow"/>
      <family val="2"/>
      <scheme val="minor"/>
    </font>
    <font>
      <b/>
      <sz val="11"/>
      <color rgb="FF00E5FF"/>
      <name val="Aptos Narrow"/>
      <family val="2"/>
      <scheme val="minor"/>
    </font>
    <font>
      <b/>
      <sz val="13"/>
      <color rgb="FF00E5FF"/>
      <name val="Aptos Narrow"/>
      <family val="2"/>
      <scheme val="minor"/>
    </font>
    <font>
      <b/>
      <sz val="20"/>
      <color rgb="FFF3FBFF"/>
      <name val="Aptos Narrow"/>
      <family val="2"/>
      <scheme val="minor"/>
    </font>
    <font>
      <i/>
      <sz val="11"/>
      <color rgb="FF9EABC2"/>
      <name val="Aptos Narrow"/>
      <family val="2"/>
      <scheme val="minor"/>
    </font>
    <font>
      <sz val="11"/>
      <color rgb="FFF5FCFF"/>
      <name val="Aptos Narrow"/>
      <family val="2"/>
      <scheme val="minor"/>
    </font>
    <font>
      <b/>
      <sz val="11"/>
      <color rgb="FF050812"/>
      <name val="Aptos Narrow"/>
      <family val="2"/>
      <scheme val="minor"/>
    </font>
    <font>
      <b/>
      <sz val="13"/>
      <color rgb="FF050812"/>
      <name val="Aptos Narrow"/>
      <family val="2"/>
      <scheme val="minor"/>
    </font>
    <font>
      <sz val="11"/>
      <color rgb="FF91A4BD"/>
      <name val="Aptos Narrow"/>
      <family val="2"/>
      <scheme val="minor"/>
    </font>
    <font>
      <i/>
      <sz val="11"/>
      <color rgb="FF91A4BD"/>
      <name val="Aptos Narrow"/>
      <family val="2"/>
      <scheme val="minor"/>
    </font>
    <font>
      <b/>
      <sz val="11"/>
      <color rgb="FF7C3AED"/>
      <name val="Aptos Narrow"/>
      <family val="2"/>
      <scheme val="minor"/>
    </font>
    <font>
      <sz val="11"/>
      <color rgb="FFF1FFF9"/>
      <name val="Aptos Narrow"/>
      <family val="2"/>
      <scheme val="minor"/>
    </font>
    <font>
      <b/>
      <sz val="11"/>
      <color rgb="FF030712"/>
      <name val="Aptos Narrow"/>
      <family val="2"/>
      <scheme val="minor"/>
    </font>
    <font>
      <b/>
      <sz val="13"/>
      <color rgb="FF030712"/>
      <name val="Aptos Narrow"/>
      <family val="2"/>
      <scheme val="minor"/>
    </font>
    <font>
      <sz val="11"/>
      <color rgb="FF8FA8A1"/>
      <name val="Aptos Narrow"/>
      <family val="2"/>
      <scheme val="minor"/>
    </font>
    <font>
      <i/>
      <sz val="11"/>
      <color rgb="FF8FA8A1"/>
      <name val="Aptos Narrow"/>
      <family val="2"/>
      <scheme val="minor"/>
    </font>
    <font>
      <b/>
      <sz val="13"/>
      <color rgb="FF00FFB2"/>
      <name val="Aptos Narrow"/>
      <family val="2"/>
      <scheme val="minor"/>
    </font>
    <font>
      <b/>
      <sz val="11"/>
      <color rgb="FF00A3FF"/>
      <name val="Aptos Narrow"/>
      <family val="2"/>
      <scheme val="minor"/>
    </font>
    <font>
      <sz val="11"/>
      <color rgb="FFFAF8FF"/>
      <name val="Aptos Narrow"/>
      <family val="2"/>
      <scheme val="minor"/>
    </font>
    <font>
      <b/>
      <sz val="11"/>
      <color rgb="FF070515"/>
      <name val="Aptos Narrow"/>
      <family val="2"/>
      <scheme val="minor"/>
    </font>
    <font>
      <b/>
      <sz val="13"/>
      <color rgb="FF070515"/>
      <name val="Aptos Narrow"/>
      <family val="2"/>
      <scheme val="minor"/>
    </font>
    <font>
      <sz val="11"/>
      <color rgb="FFA8A0C5"/>
      <name val="Aptos Narrow"/>
      <family val="2"/>
      <scheme val="minor"/>
    </font>
    <font>
      <i/>
      <sz val="11"/>
      <color rgb="FFA8A0C5"/>
      <name val="Aptos Narrow"/>
      <family val="2"/>
      <scheme val="minor"/>
    </font>
    <font>
      <b/>
      <sz val="13"/>
      <color rgb="FF8B5CF6"/>
      <name val="Aptos Narrow"/>
      <family val="2"/>
      <scheme val="minor"/>
    </font>
    <font>
      <b/>
      <sz val="11"/>
      <color rgb="FF22D3EE"/>
      <name val="Aptos Narrow"/>
      <family val="2"/>
      <scheme val="minor"/>
    </font>
    <font>
      <sz val="11"/>
      <color rgb="FFFFF7FD"/>
      <name val="Aptos Narrow"/>
      <family val="2"/>
      <scheme val="minor"/>
    </font>
    <font>
      <b/>
      <sz val="11"/>
      <color rgb="FF0B0612"/>
      <name val="Aptos Narrow"/>
      <family val="2"/>
      <scheme val="minor"/>
    </font>
    <font>
      <b/>
      <sz val="13"/>
      <color rgb="FF0B0612"/>
      <name val="Aptos Narrow"/>
      <family val="2"/>
      <scheme val="minor"/>
    </font>
    <font>
      <sz val="11"/>
      <color rgb="FFC1A6BF"/>
      <name val="Aptos Narrow"/>
      <family val="2"/>
      <scheme val="minor"/>
    </font>
    <font>
      <i/>
      <sz val="11"/>
      <color rgb="FFC1A6BF"/>
      <name val="Aptos Narrow"/>
      <family val="2"/>
      <scheme val="minor"/>
    </font>
    <font>
      <b/>
      <sz val="13"/>
      <color rgb="FFFF4FB8"/>
      <name val="Aptos Narrow"/>
      <family val="2"/>
      <scheme val="minor"/>
    </font>
    <font>
      <sz val="11"/>
      <color rgb="FFB77CFF"/>
      <name val="Aptos Narrow"/>
      <family val="2"/>
      <scheme val="minor"/>
    </font>
    <font>
      <b/>
      <sz val="11"/>
      <color rgb="FFB77CFF"/>
      <name val="Aptos Narrow"/>
      <family val="2"/>
      <scheme val="minor"/>
    </font>
    <font>
      <i/>
      <sz val="11"/>
      <color rgb="FFFFF7FD"/>
      <name val="Aptos Narrow"/>
      <family val="2"/>
      <scheme val="minor"/>
    </font>
    <font>
      <sz val="11"/>
      <color rgb="FFFFF7FD"/>
      <name val="Aptos"/>
      <family val="2"/>
    </font>
    <font>
      <i/>
      <sz val="11"/>
      <color rgb="FFFFF7FD"/>
      <name val="Aptos"/>
      <family val="2"/>
    </font>
    <font>
      <b/>
      <sz val="11"/>
      <color rgb="FFFFF7FD"/>
      <name val="Aptos"/>
      <family val="2"/>
    </font>
    <font>
      <b/>
      <sz val="19"/>
      <color rgb="FFFF4FB8"/>
      <name val="Aptos"/>
      <family val="2"/>
    </font>
    <font>
      <i/>
      <sz val="10"/>
      <color rgb="FFC1A6BF"/>
      <name val="Aptos"/>
      <family val="2"/>
    </font>
    <font>
      <sz val="11"/>
      <color rgb="FF58FCEC"/>
      <name val="Aptos Narrow"/>
      <family val="2"/>
      <scheme val="minor"/>
    </font>
    <font>
      <b/>
      <sz val="22"/>
      <color rgb="FF58FCEC"/>
      <name val="Aptos"/>
      <family val="2"/>
    </font>
    <font>
      <i/>
      <sz val="11"/>
      <color rgb="FFC1A6BF"/>
      <name val="Aptos"/>
      <family val="2"/>
    </font>
    <font>
      <b/>
      <sz val="11"/>
      <color rgb="FF0B0612"/>
      <name val="Aptos"/>
      <family val="2"/>
    </font>
    <font>
      <b/>
      <sz val="11"/>
      <color rgb="FF58FCEC"/>
      <name val="Aptos"/>
      <family val="2"/>
    </font>
    <font>
      <b/>
      <sz val="11"/>
      <color rgb="FFB77CFF"/>
      <name val="Aptos"/>
      <family val="2"/>
    </font>
    <font>
      <b/>
      <sz val="14"/>
      <color rgb="FF58FCEC"/>
      <name val="Aptos"/>
      <family val="2"/>
    </font>
    <font>
      <sz val="11"/>
      <color rgb="FF58FCEC"/>
      <name val="Aptos"/>
      <family val="2"/>
    </font>
    <font>
      <sz val="11"/>
      <color rgb="FFB77CFF"/>
      <name val="Aptos"/>
      <family val="2"/>
    </font>
    <font>
      <sz val="11"/>
      <color rgb="FFC1A6BF"/>
      <name val="Aptos"/>
      <family val="2"/>
    </font>
    <font>
      <u/>
      <sz val="11"/>
      <color rgb="FFFFF7FD"/>
      <name val="Aptos"/>
      <family val="2"/>
    </font>
    <font>
      <sz val="9"/>
      <color rgb="FFFFF7FD"/>
      <name val="Aptos"/>
      <family val="2"/>
    </font>
    <font>
      <sz val="11"/>
      <color rgb="FFFF4FB8"/>
      <name val="Aptos"/>
      <family val="2"/>
    </font>
    <font>
      <b/>
      <sz val="11"/>
      <color rgb="FFFF4FB8"/>
      <name val="Aptos"/>
      <family val="2"/>
    </font>
    <font>
      <b/>
      <i/>
      <sz val="11"/>
      <color rgb="FFFF4FB8"/>
      <name val="Aptos"/>
      <family val="2"/>
    </font>
    <font>
      <i/>
      <sz val="11"/>
      <color rgb="FF58FCEC"/>
      <name val="Aptos"/>
      <family val="2"/>
    </font>
    <font>
      <b/>
      <i/>
      <sz val="11"/>
      <color rgb="FF58FCEC"/>
      <name val="Aptos"/>
      <family val="2"/>
    </font>
    <font>
      <sz val="11"/>
      <color rgb="FFFFD166"/>
      <name val="Aptos"/>
      <family val="2"/>
    </font>
    <font>
      <sz val="11"/>
      <color rgb="FF7DFFC2"/>
      <name val="Aptos"/>
      <family val="2"/>
    </font>
    <font>
      <b/>
      <sz val="10"/>
      <color rgb="FF58FCEC"/>
      <name val="Aptos Narrow"/>
      <family val="2"/>
      <scheme val="minor"/>
    </font>
    <font>
      <b/>
      <sz val="11"/>
      <color rgb="FF7DFFC2"/>
      <name val="Aptos"/>
      <family val="2"/>
    </font>
    <font>
      <b/>
      <sz val="11"/>
      <color rgb="FFFFD166"/>
      <name val="Aptos"/>
      <family val="2"/>
    </font>
    <font>
      <b/>
      <sz val="10"/>
      <color rgb="FFFFF7FD"/>
      <name val="Aptos Narrow"/>
      <family val="2"/>
      <scheme val="minor"/>
    </font>
    <font>
      <b/>
      <sz val="16"/>
      <color rgb="FF140A1C"/>
      <name val="Aptos Narrow"/>
      <family val="2"/>
      <scheme val="minor"/>
    </font>
    <font>
      <b/>
      <sz val="13"/>
      <color rgb="FF140A1C"/>
      <name val="Aptos Narrow"/>
      <family val="2"/>
      <scheme val="minor"/>
    </font>
    <font>
      <b/>
      <sz val="12"/>
      <color rgb="FFFFF7FD"/>
      <name val="Aptos"/>
      <family val="2"/>
    </font>
    <font>
      <b/>
      <sz val="19"/>
      <color rgb="FFFF4FB8"/>
      <name val="Aptos Narrow"/>
      <family val="2"/>
      <scheme val="minor"/>
    </font>
    <font>
      <b/>
      <sz val="12"/>
      <color rgb="FF58FCEC"/>
      <name val="Aptos Narrow"/>
      <family val="2"/>
      <scheme val="minor"/>
    </font>
    <font>
      <sz val="10"/>
      <color rgb="FFFFF7FD"/>
      <name val="Aptos Narrow"/>
      <family val="2"/>
      <scheme val="minor"/>
    </font>
    <font>
      <b/>
      <sz val="19"/>
      <color rgb="FF140A1C"/>
      <name val="Aptos"/>
      <family val="2"/>
    </font>
    <font>
      <sz val="11"/>
      <color rgb="FF58FCEC"/>
      <name val="Aptos"/>
    </font>
    <font>
      <sz val="11"/>
      <color rgb="FFB77CFF"/>
      <name val="Aptos"/>
    </font>
    <font>
      <sz val="11"/>
      <color rgb="FFFFF7FD"/>
      <name val="Aptos"/>
    </font>
    <font>
      <sz val="11"/>
      <color rgb="FFFFD166"/>
      <name val="Aptos"/>
    </font>
  </fonts>
  <fills count="27">
    <fill>
      <patternFill patternType="none"/>
    </fill>
    <fill>
      <patternFill patternType="gray125"/>
    </fill>
    <fill>
      <patternFill patternType="solid">
        <fgColor rgb="FF00E5FF"/>
        <bgColor indexed="64"/>
      </patternFill>
    </fill>
    <fill>
      <patternFill patternType="solid">
        <fgColor rgb="FF8B5CF6"/>
        <bgColor indexed="64"/>
      </patternFill>
    </fill>
    <fill>
      <patternFill patternType="solid">
        <fgColor rgb="FF050711"/>
        <bgColor indexed="64"/>
      </patternFill>
    </fill>
    <fill>
      <patternFill patternType="solid">
        <fgColor rgb="FF0D1220"/>
        <bgColor indexed="64"/>
      </patternFill>
    </fill>
    <fill>
      <patternFill patternType="solid">
        <fgColor rgb="FF050812"/>
        <bgColor indexed="64"/>
      </patternFill>
    </fill>
    <fill>
      <patternFill patternType="solid">
        <fgColor rgb="FFFF2D95"/>
        <bgColor indexed="64"/>
      </patternFill>
    </fill>
    <fill>
      <patternFill patternType="solid">
        <fgColor rgb="FF7C3AED"/>
        <bgColor indexed="64"/>
      </patternFill>
    </fill>
    <fill>
      <patternFill patternType="solid">
        <fgColor rgb="FF0C1424"/>
        <bgColor indexed="64"/>
      </patternFill>
    </fill>
    <fill>
      <patternFill patternType="solid">
        <fgColor rgb="FF030712"/>
        <bgColor indexed="64"/>
      </patternFill>
    </fill>
    <fill>
      <patternFill patternType="solid">
        <fgColor rgb="FF00FFB2"/>
        <bgColor indexed="64"/>
      </patternFill>
    </fill>
    <fill>
      <patternFill patternType="solid">
        <fgColor rgb="FFFFB000"/>
        <bgColor indexed="64"/>
      </patternFill>
    </fill>
    <fill>
      <patternFill patternType="solid">
        <fgColor rgb="FF00A3FF"/>
        <bgColor indexed="64"/>
      </patternFill>
    </fill>
    <fill>
      <patternFill patternType="solid">
        <fgColor rgb="FF101827"/>
        <bgColor indexed="64"/>
      </patternFill>
    </fill>
    <fill>
      <patternFill patternType="solid">
        <fgColor rgb="FF070515"/>
        <bgColor indexed="64"/>
      </patternFill>
    </fill>
    <fill>
      <patternFill patternType="solid">
        <fgColor rgb="FFD8FF3E"/>
        <bgColor indexed="64"/>
      </patternFill>
    </fill>
    <fill>
      <patternFill patternType="solid">
        <fgColor rgb="FF22D3EE"/>
        <bgColor indexed="64"/>
      </patternFill>
    </fill>
    <fill>
      <patternFill patternType="solid">
        <fgColor rgb="FF15102B"/>
        <bgColor indexed="64"/>
      </patternFill>
    </fill>
    <fill>
      <patternFill patternType="solid">
        <fgColor rgb="FF0B0612"/>
        <bgColor indexed="64"/>
      </patternFill>
    </fill>
    <fill>
      <patternFill patternType="solid">
        <fgColor rgb="FFFF4FB8"/>
        <bgColor indexed="64"/>
      </patternFill>
    </fill>
    <fill>
      <patternFill patternType="solid">
        <fgColor rgb="FF58FCEC"/>
        <bgColor indexed="64"/>
      </patternFill>
    </fill>
    <fill>
      <patternFill patternType="solid">
        <fgColor rgb="FFB77CFF"/>
        <bgColor indexed="64"/>
      </patternFill>
    </fill>
    <fill>
      <patternFill patternType="solid">
        <fgColor rgb="FF1A0F24"/>
        <bgColor indexed="64"/>
      </patternFill>
    </fill>
    <fill>
      <patternFill patternType="solid">
        <fgColor rgb="FF241331"/>
        <bgColor indexed="64"/>
      </patternFill>
    </fill>
    <fill>
      <patternFill patternType="solid">
        <fgColor rgb="FF21152D"/>
        <bgColor indexed="64"/>
      </patternFill>
    </fill>
    <fill>
      <patternFill patternType="solid">
        <fgColor rgb="FF2E1C3D"/>
        <bgColor indexed="64"/>
      </patternFill>
    </fill>
  </fills>
  <borders count="19">
    <border>
      <left/>
      <right/>
      <top/>
      <bottom/>
      <diagonal/>
    </border>
    <border>
      <left/>
      <right/>
      <top/>
      <bottom style="thin">
        <color rgb="FFD9E2F3"/>
      </bottom>
      <diagonal/>
    </border>
    <border>
      <left/>
      <right/>
      <top/>
      <bottom style="thick">
        <color rgb="FFFF4FB8"/>
      </bottom>
      <diagonal/>
    </border>
    <border>
      <left/>
      <right/>
      <top style="thin">
        <color rgb="FFB77CFF"/>
      </top>
      <bottom style="thin">
        <color rgb="FFB77CFF"/>
      </bottom>
      <diagonal/>
    </border>
    <border>
      <left style="thin">
        <color rgb="FFB77CFF"/>
      </left>
      <right/>
      <top style="thin">
        <color rgb="FFB77CFF"/>
      </top>
      <bottom style="thin">
        <color rgb="FFB77CFF"/>
      </bottom>
      <diagonal/>
    </border>
    <border>
      <left/>
      <right style="thin">
        <color rgb="FFB77CFF"/>
      </right>
      <top style="thin">
        <color rgb="FFB77CFF"/>
      </top>
      <bottom style="thin">
        <color rgb="FFB77CFF"/>
      </bottom>
      <diagonal/>
    </border>
    <border>
      <left/>
      <right/>
      <top style="thin">
        <color rgb="FF58FCEC"/>
      </top>
      <bottom/>
      <diagonal/>
    </border>
    <border>
      <left/>
      <right/>
      <top style="thin">
        <color rgb="FFFF4FB8"/>
      </top>
      <bottom style="thin">
        <color rgb="FFFF4FB8"/>
      </bottom>
      <diagonal/>
    </border>
    <border>
      <left style="thin">
        <color rgb="FFFF4FB8"/>
      </left>
      <right/>
      <top style="thin">
        <color rgb="FFFF4FB8"/>
      </top>
      <bottom style="thin">
        <color rgb="FFFF4FB8"/>
      </bottom>
      <diagonal/>
    </border>
    <border>
      <left/>
      <right style="thin">
        <color rgb="FFFF4FB8"/>
      </right>
      <top style="thin">
        <color rgb="FFFF4FB8"/>
      </top>
      <bottom style="thin">
        <color rgb="FFFF4FB8"/>
      </bottom>
      <diagonal/>
    </border>
    <border>
      <left/>
      <right/>
      <top style="thick">
        <color rgb="FFFF4FB8"/>
      </top>
      <bottom/>
      <diagonal/>
    </border>
    <border>
      <left style="thin">
        <color auto="1"/>
      </left>
      <right/>
      <top/>
      <bottom/>
      <diagonal/>
    </border>
    <border>
      <left style="thick">
        <color rgb="FF7DFFC2"/>
      </left>
      <right/>
      <top/>
      <bottom/>
      <diagonal/>
    </border>
    <border>
      <left style="thick">
        <color rgb="FF58FCEC"/>
      </left>
      <right/>
      <top/>
      <bottom/>
      <diagonal/>
    </border>
    <border>
      <left style="thick">
        <color rgb="FFB77CFF"/>
      </left>
      <right/>
      <top/>
      <bottom/>
      <diagonal/>
    </border>
    <border>
      <left style="thick">
        <color rgb="FFFF4FB8"/>
      </left>
      <right/>
      <top/>
      <bottom/>
      <diagonal/>
    </border>
    <border>
      <left/>
      <right style="thin">
        <color indexed="64"/>
      </right>
      <top/>
      <bottom/>
      <diagonal/>
    </border>
    <border>
      <left/>
      <right style="thin">
        <color indexed="64"/>
      </right>
      <top/>
      <bottom style="thin">
        <color indexed="64"/>
      </bottom>
      <diagonal/>
    </border>
    <border>
      <left style="thick">
        <color rgb="FFFFD166"/>
      </left>
      <right/>
      <top/>
      <bottom style="thin">
        <color indexed="64"/>
      </bottom>
      <diagonal/>
    </border>
  </borders>
  <cellStyleXfs count="2">
    <xf numFmtId="0" fontId="0" fillId="0" borderId="0"/>
    <xf numFmtId="0" fontId="2" fillId="0" borderId="0" applyNumberFormat="0" applyFill="0" applyBorder="0" applyAlignment="0" applyProtection="0"/>
  </cellStyleXfs>
  <cellXfs count="172">
    <xf numFmtId="0" fontId="0" fillId="0" borderId="0" xfId="0"/>
    <xf numFmtId="0" fontId="0" fillId="0" borderId="0" xfId="0" applyAlignment="1">
      <alignment wrapText="1"/>
    </xf>
    <xf numFmtId="0" fontId="0" fillId="0" borderId="0" xfId="0" applyAlignment="1">
      <alignment horizontal="center" vertical="center"/>
    </xf>
    <xf numFmtId="0" fontId="8" fillId="6" borderId="0" xfId="0" applyFont="1" applyFill="1"/>
    <xf numFmtId="0" fontId="9" fillId="7" borderId="0" xfId="0" applyFont="1" applyFill="1" applyAlignment="1">
      <alignment horizontal="center"/>
    </xf>
    <xf numFmtId="0" fontId="9" fillId="2" borderId="0" xfId="0" applyFont="1" applyFill="1" applyAlignment="1">
      <alignment horizontal="center"/>
    </xf>
    <xf numFmtId="0" fontId="9" fillId="8" borderId="0" xfId="0" applyFont="1" applyFill="1" applyAlignment="1">
      <alignment horizontal="center"/>
    </xf>
    <xf numFmtId="0" fontId="13" fillId="9" borderId="0" xfId="0" applyFont="1" applyFill="1" applyAlignment="1">
      <alignment horizontal="center"/>
    </xf>
    <xf numFmtId="0" fontId="8" fillId="9" borderId="0" xfId="0" applyFont="1" applyFill="1" applyAlignment="1">
      <alignment horizontal="center"/>
    </xf>
    <xf numFmtId="0" fontId="11" fillId="9" borderId="0" xfId="0" applyFont="1" applyFill="1" applyAlignment="1">
      <alignment horizontal="center"/>
    </xf>
    <xf numFmtId="0" fontId="14" fillId="10" borderId="0" xfId="0" applyFont="1" applyFill="1"/>
    <xf numFmtId="0" fontId="15" fillId="12" borderId="0" xfId="0" applyFont="1" applyFill="1" applyAlignment="1">
      <alignment horizontal="center"/>
    </xf>
    <xf numFmtId="0" fontId="15" fillId="11" borderId="0" xfId="0" applyFont="1" applyFill="1" applyAlignment="1">
      <alignment horizontal="center"/>
    </xf>
    <xf numFmtId="0" fontId="15" fillId="13" borderId="0" xfId="0" applyFont="1" applyFill="1" applyAlignment="1">
      <alignment horizontal="center"/>
    </xf>
    <xf numFmtId="0" fontId="20" fillId="14" borderId="0" xfId="0" applyFont="1" applyFill="1" applyAlignment="1">
      <alignment horizontal="center"/>
    </xf>
    <xf numFmtId="0" fontId="14" fillId="14" borderId="0" xfId="0" applyFont="1" applyFill="1" applyAlignment="1">
      <alignment horizontal="center"/>
    </xf>
    <xf numFmtId="0" fontId="17" fillId="14" borderId="0" xfId="0" applyFont="1" applyFill="1" applyAlignment="1">
      <alignment horizontal="center"/>
    </xf>
    <xf numFmtId="0" fontId="21" fillId="15" borderId="0" xfId="0" applyFont="1" applyFill="1"/>
    <xf numFmtId="0" fontId="22" fillId="16" borderId="0" xfId="0" applyFont="1" applyFill="1" applyAlignment="1">
      <alignment horizontal="center"/>
    </xf>
    <xf numFmtId="0" fontId="22" fillId="3" borderId="0" xfId="0" applyFont="1" applyFill="1" applyAlignment="1">
      <alignment horizontal="center"/>
    </xf>
    <xf numFmtId="0" fontId="22" fillId="17" borderId="0" xfId="0" applyFont="1" applyFill="1" applyAlignment="1">
      <alignment horizontal="center"/>
    </xf>
    <xf numFmtId="0" fontId="27" fillId="18" borderId="0" xfId="0" applyFont="1" applyFill="1" applyAlignment="1">
      <alignment horizontal="center"/>
    </xf>
    <xf numFmtId="0" fontId="21" fillId="18" borderId="0" xfId="0" applyFont="1" applyFill="1" applyAlignment="1">
      <alignment horizontal="center"/>
    </xf>
    <xf numFmtId="0" fontId="24" fillId="18" borderId="0" xfId="0" applyFont="1" applyFill="1" applyAlignment="1">
      <alignment horizontal="center"/>
    </xf>
    <xf numFmtId="0" fontId="28" fillId="19" borderId="0" xfId="0" applyFont="1" applyFill="1"/>
    <xf numFmtId="0" fontId="29" fillId="21" borderId="0" xfId="0" applyFont="1" applyFill="1" applyAlignment="1">
      <alignment horizontal="center"/>
    </xf>
    <xf numFmtId="0" fontId="29" fillId="20" borderId="0" xfId="0" applyFont="1" applyFill="1" applyAlignment="1">
      <alignment horizontal="center"/>
    </xf>
    <xf numFmtId="0" fontId="29" fillId="22" borderId="0" xfId="0" applyFont="1" applyFill="1" applyAlignment="1">
      <alignment horizontal="center"/>
    </xf>
    <xf numFmtId="0" fontId="35" fillId="23" borderId="0" xfId="0" applyFont="1" applyFill="1" applyAlignment="1">
      <alignment horizontal="center"/>
    </xf>
    <xf numFmtId="0" fontId="28" fillId="23" borderId="0" xfId="0" applyFont="1" applyFill="1" applyAlignment="1">
      <alignment horizontal="center"/>
    </xf>
    <xf numFmtId="0" fontId="31" fillId="23" borderId="0" xfId="0" applyFont="1" applyFill="1" applyAlignment="1">
      <alignment horizontal="center"/>
    </xf>
    <xf numFmtId="0" fontId="37" fillId="19" borderId="0" xfId="0" applyFont="1" applyFill="1"/>
    <xf numFmtId="0" fontId="37" fillId="19" borderId="0" xfId="0" applyFont="1" applyFill="1" applyAlignment="1">
      <alignment vertical="top"/>
    </xf>
    <xf numFmtId="0" fontId="37" fillId="19" borderId="0" xfId="0" applyFont="1" applyFill="1" applyAlignment="1">
      <alignment vertical="top" wrapText="1"/>
    </xf>
    <xf numFmtId="0" fontId="40" fillId="19" borderId="2" xfId="0" applyFont="1" applyFill="1" applyBorder="1" applyAlignment="1">
      <alignment vertical="top"/>
    </xf>
    <xf numFmtId="0" fontId="41" fillId="23" borderId="0" xfId="0" applyFont="1" applyFill="1" applyAlignment="1">
      <alignment vertical="top" wrapText="1"/>
    </xf>
    <xf numFmtId="0" fontId="46" fillId="23" borderId="0" xfId="0" applyFont="1" applyFill="1" applyAlignment="1">
      <alignment vertical="top" wrapText="1"/>
    </xf>
    <xf numFmtId="0" fontId="37" fillId="23" borderId="0" xfId="0" applyFont="1" applyFill="1" applyAlignment="1">
      <alignment vertical="top" wrapText="1"/>
    </xf>
    <xf numFmtId="0" fontId="37" fillId="23" borderId="1" xfId="0" applyFont="1" applyFill="1" applyBorder="1" applyAlignment="1">
      <alignment vertical="top" wrapText="1"/>
    </xf>
    <xf numFmtId="0" fontId="47" fillId="23" borderId="0" xfId="0" applyFont="1" applyFill="1" applyAlignment="1">
      <alignment vertical="top" wrapText="1"/>
    </xf>
    <xf numFmtId="0" fontId="47" fillId="23" borderId="1" xfId="0" applyFont="1" applyFill="1" applyBorder="1" applyAlignment="1">
      <alignment vertical="top" wrapText="1"/>
    </xf>
    <xf numFmtId="0" fontId="46" fillId="24" borderId="0" xfId="0" applyFont="1" applyFill="1" applyAlignment="1">
      <alignment vertical="top" wrapText="1"/>
    </xf>
    <xf numFmtId="0" fontId="38" fillId="19" borderId="0" xfId="0" applyFont="1" applyFill="1" applyAlignment="1">
      <alignment vertical="top" wrapText="1"/>
    </xf>
    <xf numFmtId="0" fontId="45" fillId="20" borderId="0" xfId="0" applyFont="1" applyFill="1" applyAlignment="1">
      <alignment vertical="center"/>
    </xf>
    <xf numFmtId="0" fontId="45" fillId="22" borderId="0" xfId="0" applyFont="1" applyFill="1" applyAlignment="1">
      <alignment horizontal="center" vertical="top" wrapText="1"/>
    </xf>
    <xf numFmtId="0" fontId="45" fillId="22" borderId="7" xfId="0" applyFont="1" applyFill="1" applyBorder="1" applyAlignment="1">
      <alignment horizontal="center" vertical="center" wrapText="1"/>
    </xf>
    <xf numFmtId="0" fontId="45" fillId="22" borderId="8" xfId="0" applyFont="1" applyFill="1" applyBorder="1" applyAlignment="1">
      <alignment horizontal="center" vertical="center" wrapText="1"/>
    </xf>
    <xf numFmtId="0" fontId="45" fillId="22" borderId="9" xfId="0" applyFont="1" applyFill="1" applyBorder="1" applyAlignment="1">
      <alignment horizontal="center" vertical="center" wrapText="1"/>
    </xf>
    <xf numFmtId="0" fontId="0" fillId="23" borderId="0" xfId="0" applyFill="1" applyAlignment="1">
      <alignment vertical="top" wrapText="1"/>
    </xf>
    <xf numFmtId="0" fontId="49" fillId="23" borderId="0" xfId="0" applyFont="1" applyFill="1" applyAlignment="1">
      <alignment horizontal="center" vertical="top" wrapText="1"/>
    </xf>
    <xf numFmtId="0" fontId="42" fillId="23" borderId="0" xfId="0" applyFont="1" applyFill="1" applyAlignment="1">
      <alignment horizontal="center" vertical="top" wrapText="1"/>
    </xf>
    <xf numFmtId="0" fontId="50" fillId="23" borderId="0" xfId="0" applyFont="1" applyFill="1" applyAlignment="1">
      <alignment vertical="top" wrapText="1"/>
    </xf>
    <xf numFmtId="0" fontId="34" fillId="23" borderId="0" xfId="0" applyFont="1" applyFill="1" applyAlignment="1">
      <alignment vertical="top" wrapText="1"/>
    </xf>
    <xf numFmtId="0" fontId="37" fillId="19" borderId="0" xfId="0" applyFont="1" applyFill="1" applyAlignment="1">
      <alignment horizontal="center" vertical="top"/>
    </xf>
    <xf numFmtId="0" fontId="45" fillId="22" borderId="7" xfId="0" applyFont="1" applyFill="1" applyBorder="1" applyAlignment="1">
      <alignment horizontal="center" vertical="center"/>
    </xf>
    <xf numFmtId="0" fontId="45" fillId="22" borderId="8" xfId="0" applyFont="1" applyFill="1" applyBorder="1" applyAlignment="1">
      <alignment horizontal="center" vertical="center"/>
    </xf>
    <xf numFmtId="0" fontId="45" fillId="22" borderId="9" xfId="0" applyFont="1" applyFill="1" applyBorder="1" applyAlignment="1">
      <alignment horizontal="center" vertical="center"/>
    </xf>
    <xf numFmtId="0" fontId="49" fillId="23" borderId="0" xfId="0" applyFont="1" applyFill="1" applyAlignment="1">
      <alignment vertical="top" wrapText="1"/>
    </xf>
    <xf numFmtId="0" fontId="39" fillId="19" borderId="0" xfId="0" applyFont="1" applyFill="1" applyAlignment="1">
      <alignment vertical="top" wrapText="1"/>
    </xf>
    <xf numFmtId="1" fontId="37" fillId="19" borderId="0" xfId="0" applyNumberFormat="1" applyFont="1" applyFill="1" applyAlignment="1">
      <alignment horizontal="center" vertical="top" wrapText="1"/>
    </xf>
    <xf numFmtId="0" fontId="52" fillId="19" borderId="0" xfId="1" applyFont="1" applyFill="1" applyAlignment="1">
      <alignment vertical="top" wrapText="1"/>
    </xf>
    <xf numFmtId="0" fontId="53" fillId="19" borderId="0" xfId="0" applyFont="1" applyFill="1" applyAlignment="1">
      <alignment vertical="top" wrapText="1"/>
    </xf>
    <xf numFmtId="0" fontId="54" fillId="23" borderId="0" xfId="0" applyFont="1" applyFill="1" applyAlignment="1">
      <alignment vertical="top" wrapText="1"/>
    </xf>
    <xf numFmtId="0" fontId="37" fillId="19" borderId="0" xfId="0" applyFont="1" applyFill="1" applyAlignment="1">
      <alignment wrapText="1"/>
    </xf>
    <xf numFmtId="0" fontId="51" fillId="23" borderId="0" xfId="0" applyFont="1" applyFill="1" applyAlignment="1">
      <alignment vertical="top" wrapText="1"/>
    </xf>
    <xf numFmtId="0" fontId="44" fillId="24" borderId="0" xfId="0" applyFont="1" applyFill="1" applyAlignment="1">
      <alignment vertical="top" wrapText="1"/>
    </xf>
    <xf numFmtId="0" fontId="55" fillId="24" borderId="0" xfId="0" applyFont="1" applyFill="1" applyAlignment="1">
      <alignment vertical="top" wrapText="1"/>
    </xf>
    <xf numFmtId="0" fontId="56" fillId="24" borderId="0" xfId="0" applyFont="1" applyFill="1" applyAlignment="1">
      <alignment vertical="top" wrapText="1"/>
    </xf>
    <xf numFmtId="0" fontId="57" fillId="23" borderId="0" xfId="0" applyFont="1" applyFill="1" applyAlignment="1">
      <alignment vertical="top" wrapText="1"/>
    </xf>
    <xf numFmtId="0" fontId="58" fillId="23" borderId="0" xfId="0" applyFont="1" applyFill="1" applyAlignment="1">
      <alignment vertical="top" wrapText="1"/>
    </xf>
    <xf numFmtId="14" fontId="37" fillId="19" borderId="0" xfId="0" applyNumberFormat="1" applyFont="1" applyFill="1" applyAlignment="1">
      <alignment wrapText="1"/>
    </xf>
    <xf numFmtId="0" fontId="45" fillId="22" borderId="0" xfId="0" applyFont="1" applyFill="1" applyAlignment="1">
      <alignment wrapText="1"/>
    </xf>
    <xf numFmtId="0" fontId="49" fillId="19" borderId="0" xfId="0" applyFont="1" applyFill="1" applyAlignment="1">
      <alignment wrapText="1"/>
    </xf>
    <xf numFmtId="0" fontId="50" fillId="19" borderId="0" xfId="0" applyFont="1" applyFill="1" applyAlignment="1">
      <alignment wrapText="1"/>
    </xf>
    <xf numFmtId="0" fontId="37" fillId="24" borderId="0" xfId="0" applyFont="1" applyFill="1" applyAlignment="1">
      <alignment wrapText="1"/>
    </xf>
    <xf numFmtId="0" fontId="59" fillId="19" borderId="0" xfId="0" applyFont="1" applyFill="1" applyAlignment="1">
      <alignment wrapText="1"/>
    </xf>
    <xf numFmtId="0" fontId="54" fillId="19" borderId="0" xfId="0" applyFont="1" applyFill="1" applyAlignment="1">
      <alignment wrapText="1"/>
    </xf>
    <xf numFmtId="0" fontId="60" fillId="19" borderId="0" xfId="0" applyFont="1" applyFill="1" applyAlignment="1">
      <alignment wrapText="1"/>
    </xf>
    <xf numFmtId="164" fontId="49" fillId="19" borderId="0" xfId="0" applyNumberFormat="1" applyFont="1" applyFill="1" applyAlignment="1">
      <alignment wrapText="1"/>
    </xf>
    <xf numFmtId="0" fontId="62" fillId="23" borderId="0" xfId="0" applyFont="1" applyFill="1" applyAlignment="1">
      <alignment vertical="top" wrapText="1"/>
    </xf>
    <xf numFmtId="0" fontId="55" fillId="23" borderId="0" xfId="0" applyFont="1" applyFill="1" applyAlignment="1">
      <alignment vertical="top" wrapText="1"/>
    </xf>
    <xf numFmtId="0" fontId="63" fillId="23" borderId="0" xfId="0" applyFont="1" applyFill="1" applyAlignment="1">
      <alignment vertical="top" wrapText="1"/>
    </xf>
    <xf numFmtId="0" fontId="43" fillId="24" borderId="4" xfId="0" applyFont="1" applyFill="1" applyBorder="1" applyAlignment="1">
      <alignment horizontal="center" vertical="center" wrapText="1"/>
    </xf>
    <xf numFmtId="0" fontId="43" fillId="24" borderId="5" xfId="0" applyFont="1" applyFill="1" applyBorder="1" applyAlignment="1">
      <alignment horizontal="center" vertical="center" wrapText="1"/>
    </xf>
    <xf numFmtId="0" fontId="44" fillId="23" borderId="0" xfId="0" applyFont="1" applyFill="1" applyAlignment="1">
      <alignment horizontal="center" vertical="top" wrapText="1"/>
    </xf>
    <xf numFmtId="0" fontId="64" fillId="25" borderId="0" xfId="0" applyFont="1" applyFill="1" applyAlignment="1">
      <alignment horizontal="center" vertical="center" wrapText="1"/>
    </xf>
    <xf numFmtId="0" fontId="64" fillId="26" borderId="0" xfId="0" applyFont="1" applyFill="1" applyAlignment="1">
      <alignment horizontal="center" vertical="center" wrapText="1"/>
    </xf>
    <xf numFmtId="0" fontId="61" fillId="25" borderId="0" xfId="0" applyFont="1" applyFill="1" applyAlignment="1">
      <alignment horizontal="center" vertical="center" wrapText="1"/>
    </xf>
    <xf numFmtId="0" fontId="46" fillId="23" borderId="13" xfId="0" applyFont="1" applyFill="1" applyBorder="1" applyAlignment="1">
      <alignment vertical="center" wrapText="1"/>
    </xf>
    <xf numFmtId="0" fontId="47" fillId="23" borderId="14" xfId="0" applyFont="1" applyFill="1" applyBorder="1" applyAlignment="1">
      <alignment vertical="center" wrapText="1"/>
    </xf>
    <xf numFmtId="0" fontId="62" fillId="23" borderId="12" xfId="0" applyFont="1" applyFill="1" applyBorder="1" applyAlignment="1">
      <alignment vertical="center" wrapText="1"/>
    </xf>
    <xf numFmtId="0" fontId="55" fillId="23" borderId="15" xfId="0" applyFont="1" applyFill="1" applyBorder="1" applyAlignment="1">
      <alignment vertical="center" wrapText="1"/>
    </xf>
    <xf numFmtId="0" fontId="37" fillId="23" borderId="16" xfId="0" applyFont="1" applyFill="1" applyBorder="1" applyAlignment="1">
      <alignment vertical="center" wrapText="1"/>
    </xf>
    <xf numFmtId="0" fontId="37" fillId="23" borderId="17" xfId="0" applyFont="1" applyFill="1" applyBorder="1" applyAlignment="1">
      <alignment vertical="center" wrapText="1"/>
    </xf>
    <xf numFmtId="0" fontId="63" fillId="23" borderId="18" xfId="0" applyFont="1" applyFill="1" applyBorder="1" applyAlignment="1">
      <alignment vertical="center" wrapText="1"/>
    </xf>
    <xf numFmtId="0" fontId="72" fillId="19" borderId="0" xfId="0" applyFont="1" applyFill="1" applyAlignment="1">
      <alignment wrapText="1"/>
    </xf>
    <xf numFmtId="0" fontId="73" fillId="19" borderId="0" xfId="0" applyFont="1" applyFill="1" applyAlignment="1">
      <alignment wrapText="1"/>
    </xf>
    <xf numFmtId="0" fontId="74" fillId="19" borderId="0" xfId="0" applyFont="1" applyFill="1" applyAlignment="1">
      <alignment wrapText="1"/>
    </xf>
    <xf numFmtId="0" fontId="74" fillId="24" borderId="0" xfId="0" applyFont="1" applyFill="1" applyAlignment="1">
      <alignment wrapText="1"/>
    </xf>
    <xf numFmtId="14" fontId="74" fillId="19" borderId="0" xfId="0" applyNumberFormat="1" applyFont="1" applyFill="1" applyAlignment="1">
      <alignment wrapText="1"/>
    </xf>
    <xf numFmtId="0" fontId="75" fillId="19" borderId="0" xfId="0" applyFont="1" applyFill="1" applyAlignment="1">
      <alignment wrapText="1"/>
    </xf>
    <xf numFmtId="0" fontId="45" fillId="20" borderId="0" xfId="0" applyFont="1" applyFill="1" applyAlignment="1">
      <alignment vertical="center" wrapText="1"/>
    </xf>
    <xf numFmtId="0" fontId="39" fillId="19" borderId="0" xfId="0" applyFont="1" applyFill="1" applyAlignment="1">
      <alignment vertical="top"/>
    </xf>
    <xf numFmtId="0" fontId="40" fillId="19" borderId="2" xfId="0" applyFont="1" applyFill="1" applyBorder="1" applyAlignment="1">
      <alignment vertical="top"/>
    </xf>
    <xf numFmtId="0" fontId="41" fillId="23" borderId="0" xfId="0" applyFont="1" applyFill="1" applyAlignment="1">
      <alignment vertical="top" wrapText="1"/>
    </xf>
    <xf numFmtId="0" fontId="48" fillId="24" borderId="4" xfId="0" applyFont="1" applyFill="1" applyBorder="1" applyAlignment="1">
      <alignment vertical="center"/>
    </xf>
    <xf numFmtId="0" fontId="48" fillId="24" borderId="5" xfId="0" applyFont="1" applyFill="1" applyBorder="1" applyAlignment="1">
      <alignment vertical="center"/>
    </xf>
    <xf numFmtId="0" fontId="44" fillId="23" borderId="0" xfId="0" applyFont="1" applyFill="1" applyAlignment="1">
      <alignment vertical="top" wrapText="1"/>
    </xf>
    <xf numFmtId="0" fontId="68" fillId="19" borderId="0" xfId="0" applyFont="1" applyFill="1" applyAlignment="1">
      <alignment horizontal="center" vertical="center" wrapText="1"/>
    </xf>
    <xf numFmtId="0" fontId="69" fillId="24" borderId="0" xfId="0" applyFont="1" applyFill="1" applyAlignment="1">
      <alignment horizontal="center" vertical="center" wrapText="1"/>
    </xf>
    <xf numFmtId="0" fontId="70" fillId="23" borderId="0" xfId="0" applyFont="1" applyFill="1" applyAlignment="1">
      <alignment horizontal="center" vertical="center" wrapText="1"/>
    </xf>
    <xf numFmtId="0" fontId="64" fillId="25" borderId="6" xfId="0" applyFont="1" applyFill="1" applyBorder="1" applyAlignment="1">
      <alignment horizontal="center" vertical="center" wrapText="1"/>
    </xf>
    <xf numFmtId="0" fontId="45" fillId="20" borderId="0" xfId="0" applyFont="1" applyFill="1" applyAlignment="1">
      <alignment vertical="top" wrapText="1"/>
    </xf>
    <xf numFmtId="0" fontId="29" fillId="20" borderId="0" xfId="0" applyFont="1" applyFill="1" applyAlignment="1">
      <alignment horizontal="center" wrapText="1"/>
    </xf>
    <xf numFmtId="0" fontId="29" fillId="20" borderId="0" xfId="0" applyFont="1" applyFill="1" applyAlignment="1">
      <alignment wrapText="1"/>
    </xf>
    <xf numFmtId="0" fontId="71" fillId="20" borderId="2" xfId="0" applyFont="1" applyFill="1" applyBorder="1" applyAlignment="1">
      <alignment horizontal="center" vertical="top" wrapText="1"/>
    </xf>
    <xf numFmtId="0" fontId="41" fillId="23" borderId="10" xfId="0" applyFont="1" applyFill="1" applyBorder="1" applyAlignment="1">
      <alignment vertical="top" wrapText="1"/>
    </xf>
    <xf numFmtId="0" fontId="67" fillId="24" borderId="11" xfId="0" applyFont="1" applyFill="1" applyBorder="1" applyAlignment="1">
      <alignment horizontal="center" vertical="center" wrapText="1"/>
    </xf>
    <xf numFmtId="0" fontId="67" fillId="24" borderId="16" xfId="0" applyFont="1" applyFill="1" applyBorder="1" applyAlignment="1">
      <alignment horizontal="center" vertical="center" wrapText="1"/>
    </xf>
    <xf numFmtId="0" fontId="65" fillId="20" borderId="0" xfId="0" applyFont="1" applyFill="1" applyAlignment="1">
      <alignment horizontal="center" vertical="center" wrapText="1"/>
    </xf>
    <xf numFmtId="0" fontId="36" fillId="25" borderId="0" xfId="0" applyFont="1" applyFill="1" applyAlignment="1">
      <alignment horizontal="left" vertical="center" wrapText="1"/>
    </xf>
    <xf numFmtId="0" fontId="66" fillId="20" borderId="0" xfId="0" applyFont="1" applyFill="1" applyAlignment="1">
      <alignment horizontal="center" vertical="center" wrapText="1"/>
    </xf>
    <xf numFmtId="0" fontId="48" fillId="24" borderId="3" xfId="0" applyFont="1" applyFill="1" applyBorder="1" applyAlignment="1">
      <alignment vertical="center"/>
    </xf>
    <xf numFmtId="0" fontId="46" fillId="24" borderId="0" xfId="0" applyFont="1" applyFill="1" applyAlignment="1">
      <alignment vertical="top" wrapText="1"/>
    </xf>
    <xf numFmtId="0" fontId="38" fillId="19" borderId="0" xfId="0" applyFont="1" applyFill="1" applyAlignment="1">
      <alignment vertical="top" wrapText="1"/>
    </xf>
    <xf numFmtId="0" fontId="37" fillId="19" borderId="0" xfId="0" applyFont="1" applyFill="1" applyAlignment="1">
      <alignment vertical="top" wrapText="1"/>
    </xf>
    <xf numFmtId="0" fontId="40" fillId="19" borderId="2" xfId="0" applyFont="1" applyFill="1" applyBorder="1" applyAlignment="1">
      <alignment vertical="top" wrapText="1"/>
    </xf>
    <xf numFmtId="0" fontId="48" fillId="24" borderId="4" xfId="0" applyFont="1" applyFill="1" applyBorder="1" applyAlignment="1">
      <alignment vertical="center" wrapText="1"/>
    </xf>
    <xf numFmtId="0" fontId="48" fillId="24" borderId="3" xfId="0" applyFont="1" applyFill="1" applyBorder="1" applyAlignment="1">
      <alignment vertical="center" wrapText="1"/>
    </xf>
    <xf numFmtId="0" fontId="48" fillId="24" borderId="5" xfId="0" applyFont="1" applyFill="1" applyBorder="1" applyAlignment="1">
      <alignment vertical="center" wrapText="1"/>
    </xf>
    <xf numFmtId="0" fontId="40" fillId="19" borderId="2" xfId="0" applyFont="1" applyFill="1" applyBorder="1" applyAlignment="1">
      <alignment wrapText="1"/>
    </xf>
    <xf numFmtId="0" fontId="44" fillId="23" borderId="0" xfId="0" applyFont="1" applyFill="1" applyAlignment="1">
      <alignment wrapText="1"/>
    </xf>
    <xf numFmtId="0" fontId="40" fillId="19" borderId="2" xfId="0" applyFont="1" applyFill="1" applyBorder="1"/>
    <xf numFmtId="0" fontId="19" fillId="14" borderId="0" xfId="0" applyFont="1" applyFill="1"/>
    <xf numFmtId="0" fontId="30" fillId="20" borderId="0" xfId="0" applyFont="1" applyFill="1"/>
    <xf numFmtId="0" fontId="32" fillId="0" borderId="0" xfId="0" applyFont="1" applyAlignment="1">
      <alignment vertical="center" wrapText="1"/>
    </xf>
    <xf numFmtId="0" fontId="29" fillId="21" borderId="0" xfId="0" applyFont="1" applyFill="1" applyAlignment="1">
      <alignment horizontal="center"/>
    </xf>
    <xf numFmtId="0" fontId="33" fillId="23" borderId="0" xfId="0" applyFont="1" applyFill="1"/>
    <xf numFmtId="0" fontId="6" fillId="4" borderId="0" xfId="0" applyFont="1" applyFill="1"/>
    <xf numFmtId="0" fontId="7" fillId="5" borderId="0" xfId="0" applyFont="1" applyFill="1"/>
    <xf numFmtId="0" fontId="10" fillId="2" borderId="0" xfId="0" applyFont="1" applyFill="1"/>
    <xf numFmtId="0" fontId="12" fillId="0" borderId="0" xfId="0" applyFont="1" applyAlignment="1">
      <alignment vertical="center" wrapText="1"/>
    </xf>
    <xf numFmtId="0" fontId="9" fillId="7" borderId="0" xfId="0" applyFont="1" applyFill="1" applyAlignment="1">
      <alignment horizontal="center"/>
    </xf>
    <xf numFmtId="0" fontId="16" fillId="11" borderId="0" xfId="0" applyFont="1" applyFill="1"/>
    <xf numFmtId="0" fontId="18" fillId="0" borderId="0" xfId="0" applyFont="1" applyAlignment="1">
      <alignment vertical="center" wrapText="1"/>
    </xf>
    <xf numFmtId="0" fontId="15" fillId="12" borderId="0" xfId="0" applyFont="1" applyFill="1" applyAlignment="1">
      <alignment horizontal="center"/>
    </xf>
    <xf numFmtId="0" fontId="8" fillId="9" borderId="0" xfId="0" applyFont="1" applyFill="1" applyAlignment="1">
      <alignment vertical="center" wrapText="1"/>
    </xf>
    <xf numFmtId="0" fontId="13" fillId="9" borderId="0" xfId="0" applyFont="1" applyFill="1" applyAlignment="1">
      <alignment horizontal="center"/>
    </xf>
    <xf numFmtId="0" fontId="9" fillId="2" borderId="0" xfId="0" applyFont="1" applyFill="1" applyAlignment="1">
      <alignment horizontal="center"/>
    </xf>
    <xf numFmtId="0" fontId="13" fillId="0" borderId="0" xfId="0" applyFont="1" applyAlignment="1">
      <alignment horizontal="center"/>
    </xf>
    <xf numFmtId="0" fontId="5" fillId="9" borderId="0" xfId="0" applyFont="1" applyFill="1"/>
    <xf numFmtId="0" fontId="23" fillId="3" borderId="0" xfId="0" applyFont="1" applyFill="1"/>
    <xf numFmtId="0" fontId="25" fillId="0" borderId="0" xfId="0" applyFont="1" applyAlignment="1">
      <alignment vertical="center" wrapText="1"/>
    </xf>
    <xf numFmtId="0" fontId="22" fillId="16" borderId="0" xfId="0" applyFont="1" applyFill="1" applyAlignment="1">
      <alignment horizontal="center"/>
    </xf>
    <xf numFmtId="0" fontId="26" fillId="18" borderId="0" xfId="0" applyFont="1" applyFill="1"/>
    <xf numFmtId="0" fontId="21" fillId="18" borderId="0" xfId="0" applyFont="1" applyFill="1" applyAlignment="1">
      <alignment vertical="center" wrapText="1"/>
    </xf>
    <xf numFmtId="0" fontId="28" fillId="23" borderId="0" xfId="0" applyFont="1" applyFill="1" applyAlignment="1">
      <alignment vertical="center" wrapText="1"/>
    </xf>
    <xf numFmtId="0" fontId="35" fillId="0" borderId="0" xfId="0" applyFont="1" applyAlignment="1">
      <alignment horizontal="center"/>
    </xf>
    <xf numFmtId="0" fontId="31" fillId="23" borderId="0" xfId="0" applyFont="1" applyFill="1" applyAlignment="1">
      <alignment vertical="center" wrapText="1"/>
    </xf>
    <xf numFmtId="0" fontId="4" fillId="14" borderId="0" xfId="0" applyFont="1" applyFill="1" applyAlignment="1">
      <alignment horizontal="center"/>
    </xf>
    <xf numFmtId="0" fontId="22" fillId="3" borderId="0" xfId="0" applyFont="1" applyFill="1" applyAlignment="1">
      <alignment horizontal="center"/>
    </xf>
    <xf numFmtId="0" fontId="27" fillId="0" borderId="0" xfId="0" applyFont="1" applyAlignment="1">
      <alignment horizontal="center"/>
    </xf>
    <xf numFmtId="0" fontId="24" fillId="18" borderId="0" xfId="0" applyFont="1" applyFill="1" applyAlignment="1">
      <alignment vertical="center" wrapText="1"/>
    </xf>
    <xf numFmtId="0" fontId="17" fillId="14" borderId="0" xfId="0" applyFont="1" applyFill="1" applyAlignment="1">
      <alignment vertical="center" wrapText="1"/>
    </xf>
    <xf numFmtId="0" fontId="35" fillId="23" borderId="0" xfId="0" applyFont="1" applyFill="1" applyAlignment="1">
      <alignment horizontal="center"/>
    </xf>
    <xf numFmtId="0" fontId="29" fillId="20" borderId="0" xfId="0" applyFont="1" applyFill="1" applyAlignment="1">
      <alignment horizontal="center"/>
    </xf>
    <xf numFmtId="0" fontId="20" fillId="14" borderId="0" xfId="0" applyFont="1" applyFill="1" applyAlignment="1">
      <alignment horizontal="center"/>
    </xf>
    <xf numFmtId="0" fontId="15" fillId="11" borderId="0" xfId="0" applyFont="1" applyFill="1" applyAlignment="1">
      <alignment horizontal="center"/>
    </xf>
    <xf numFmtId="0" fontId="20" fillId="0" borderId="0" xfId="0" applyFont="1" applyAlignment="1">
      <alignment horizontal="center"/>
    </xf>
    <xf numFmtId="0" fontId="27" fillId="18" borderId="0" xfId="0" applyFont="1" applyFill="1" applyAlignment="1">
      <alignment horizontal="center"/>
    </xf>
    <xf numFmtId="0" fontId="11" fillId="9" borderId="0" xfId="0" applyFont="1" applyFill="1" applyAlignment="1">
      <alignment vertical="center" wrapText="1"/>
    </xf>
    <xf numFmtId="0" fontId="14" fillId="14" borderId="0" xfId="0" applyFont="1" applyFill="1" applyAlignment="1">
      <alignment vertical="center" wrapText="1"/>
    </xf>
  </cellXfs>
  <cellStyles count="2">
    <cellStyle name="Lien hypertexte" xfId="1" builtinId="8"/>
    <cellStyle name="Normal" xfId="0" builtinId="0"/>
  </cellStyles>
  <dxfs count="101">
    <dxf>
      <font>
        <color rgb="FFFFF7FD"/>
        <name val="Aptos"/>
      </font>
      <fill>
        <patternFill patternType="solid">
          <fgColor indexed="64"/>
          <bgColor rgb="FF0B0612"/>
        </patternFill>
      </fill>
      <alignment wrapText="1"/>
    </dxf>
    <dxf>
      <font>
        <color rgb="FFFFD166"/>
        <name val="Aptos"/>
      </font>
      <fill>
        <patternFill patternType="solid">
          <fgColor indexed="64"/>
          <bgColor rgb="FF0B0612"/>
        </patternFill>
      </fill>
      <alignment wrapText="1"/>
    </dxf>
    <dxf>
      <font>
        <color rgb="FF58FCEC"/>
        <name val="Aptos"/>
      </font>
      <numFmt numFmtId="164" formatCode="0.0"/>
      <fill>
        <patternFill patternType="solid">
          <fgColor indexed="64"/>
          <bgColor rgb="FF0B0612"/>
        </patternFill>
      </fill>
      <alignment wrapText="1"/>
    </dxf>
    <dxf>
      <font>
        <color rgb="FFFFF7FD"/>
        <name val="Aptos"/>
      </font>
      <fill>
        <patternFill patternType="solid">
          <fgColor indexed="64"/>
          <bgColor rgb="FF241331"/>
        </patternFill>
      </fill>
      <alignment wrapText="1"/>
    </dxf>
    <dxf>
      <font>
        <color rgb="FFFFF7FD"/>
        <name val="Aptos"/>
      </font>
      <fill>
        <patternFill patternType="solid">
          <fgColor indexed="64"/>
          <bgColor rgb="FF241331"/>
        </patternFill>
      </fill>
      <alignment wrapText="1"/>
    </dxf>
    <dxf>
      <font>
        <color rgb="FFFFF7FD"/>
        <name val="Aptos"/>
      </font>
      <fill>
        <patternFill patternType="solid">
          <fgColor indexed="64"/>
          <bgColor rgb="FF241331"/>
        </patternFill>
      </fill>
      <alignment wrapText="1"/>
    </dxf>
    <dxf>
      <font>
        <color rgb="FFFFF7FD"/>
        <name val="Aptos"/>
      </font>
      <fill>
        <patternFill patternType="solid">
          <fgColor indexed="64"/>
          <bgColor rgb="FF241331"/>
        </patternFill>
      </fill>
      <alignment wrapText="1"/>
    </dxf>
    <dxf>
      <font>
        <color rgb="FFFFF7FD"/>
        <name val="Aptos"/>
      </font>
      <fill>
        <patternFill patternType="solid">
          <fgColor indexed="64"/>
          <bgColor rgb="FF241331"/>
        </patternFill>
      </fill>
      <alignment wrapText="1"/>
    </dxf>
    <dxf>
      <font>
        <color rgb="FFFFF7FD"/>
        <name val="Aptos"/>
      </font>
      <fill>
        <patternFill patternType="solid">
          <fgColor indexed="64"/>
          <bgColor rgb="FF241331"/>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B77CFF"/>
        <name val="Aptos"/>
      </font>
      <fill>
        <patternFill patternType="solid">
          <fgColor indexed="64"/>
          <bgColor rgb="FF0B0612"/>
        </patternFill>
      </fill>
      <alignment wrapText="1"/>
    </dxf>
    <dxf>
      <font>
        <color rgb="FF58FCEC"/>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b/>
        <color rgb="FF0B0612"/>
        <name val="Aptos"/>
      </font>
      <fill>
        <patternFill patternType="solid">
          <fgColor indexed="64"/>
          <bgColor rgb="FFB77CFF"/>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7DFFC2"/>
        <name val="Aptos"/>
      </font>
      <fill>
        <patternFill patternType="solid">
          <fgColor indexed="64"/>
          <bgColor rgb="FF0B0612"/>
        </patternFill>
      </fill>
      <alignment wrapText="1"/>
    </dxf>
    <dxf>
      <font>
        <color rgb="FFFF4FB8"/>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B77CFF"/>
        <name val="Aptos"/>
      </font>
      <fill>
        <patternFill patternType="solid">
          <fgColor indexed="64"/>
          <bgColor rgb="FF0B0612"/>
        </patternFill>
      </fill>
      <alignment wrapText="1"/>
    </dxf>
    <dxf>
      <font>
        <color rgb="FF58FCEC"/>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b/>
        <color rgb="FF0B0612"/>
        <name val="Aptos"/>
      </font>
      <fill>
        <patternFill patternType="solid">
          <fgColor indexed="64"/>
          <bgColor rgb="FFB77CFF"/>
        </patternFill>
      </fill>
      <alignment wrapText="1"/>
    </dxf>
    <dxf>
      <font>
        <color rgb="FFFFF7FD"/>
        <name val="Aptos"/>
      </font>
      <fill>
        <patternFill patternType="solid">
          <fgColor indexed="64"/>
          <bgColor rgb="FF0B0612"/>
        </patternFill>
      </fill>
      <alignment wrapText="1"/>
    </dxf>
    <dxf>
      <font>
        <color rgb="FFFFD166"/>
        <name val="Aptos"/>
      </font>
      <fill>
        <patternFill patternType="solid">
          <fgColor indexed="64"/>
          <bgColor rgb="FF0B0612"/>
        </patternFill>
      </fill>
      <alignment wrapText="1"/>
    </dxf>
    <dxf>
      <font>
        <color rgb="FFFFF7FD"/>
        <name val="Aptos"/>
      </font>
      <numFmt numFmtId="19" formatCode="dd/mm/yyyy"/>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241331"/>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B77CFF"/>
        <name val="Aptos"/>
      </font>
      <fill>
        <patternFill patternType="solid">
          <fgColor indexed="64"/>
          <bgColor rgb="FF0B0612"/>
        </patternFill>
      </fill>
      <alignment wrapText="1"/>
    </dxf>
    <dxf>
      <font>
        <color rgb="FF58FCEC"/>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b/>
        <color rgb="FF0B0612"/>
        <name val="Aptos"/>
      </font>
      <fill>
        <patternFill patternType="solid">
          <fgColor indexed="64"/>
          <bgColor rgb="FFB77CFF"/>
        </patternFill>
      </fill>
      <alignment wrapText="1"/>
    </dxf>
    <dxf>
      <font>
        <b/>
        <color rgb="FFFFF7FD"/>
        <name val="Aptos"/>
      </font>
      <fill>
        <patternFill patternType="solid">
          <fgColor indexed="64"/>
          <bgColor rgb="FF0B0612"/>
        </patternFill>
      </fill>
      <alignment vertical="top" wrapText="1"/>
    </dxf>
    <dxf>
      <font>
        <sz val="9"/>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horizontal="general" vertical="top" textRotation="0" wrapText="1" indent="0" justifyLastLine="0" shrinkToFit="0" readingOrder="0"/>
    </dxf>
    <dxf>
      <font>
        <color rgb="FFFFF7FD"/>
        <name val="Aptos"/>
      </font>
      <numFmt numFmtId="1" formatCode="0"/>
      <fill>
        <patternFill patternType="solid">
          <fgColor indexed="64"/>
          <bgColor rgb="FF0B0612"/>
        </patternFill>
      </fill>
      <alignment horizontal="center" vertical="top" wrapText="1"/>
    </dxf>
    <dxf>
      <font>
        <b/>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horizontal="general" vertical="top" textRotation="0" wrapText="1" indent="0" justifyLastLine="0" shrinkToFit="0" readingOrder="0"/>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dxf>
    <dxf>
      <font>
        <color rgb="FFFFF7FD"/>
        <name val="Aptos"/>
      </font>
      <fill>
        <patternFill patternType="solid">
          <fgColor indexed="64"/>
          <bgColor rgb="FF0B0612"/>
        </patternFill>
      </fill>
      <alignment vertical="top"/>
    </dxf>
    <dxf>
      <font>
        <b/>
        <color rgb="FFFFF7FD"/>
        <name val="Aptos"/>
      </font>
      <fill>
        <patternFill patternType="solid">
          <fgColor indexed="64"/>
          <bgColor rgb="FF0B0612"/>
        </patternFill>
      </fill>
      <alignment vertical="top"/>
    </dxf>
    <dxf>
      <font>
        <color rgb="FFFFF7FD"/>
        <name val="Aptos"/>
      </font>
      <fill>
        <patternFill patternType="solid">
          <fgColor indexed="64"/>
          <bgColor rgb="FF0B0612"/>
        </patternFill>
      </fill>
      <alignment vertical="top"/>
    </dxf>
    <dxf>
      <font>
        <color rgb="FFFFF7FD"/>
        <name val="Aptos"/>
      </font>
      <fill>
        <patternFill patternType="solid">
          <fgColor indexed="64"/>
          <bgColor rgb="FF0B0612"/>
        </patternFill>
      </fill>
      <alignment vertical="top"/>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dxf>
    <dxf>
      <font>
        <color rgb="FFFFF7FD"/>
        <name val="Aptos"/>
      </font>
      <fill>
        <patternFill patternType="solid">
          <fgColor indexed="64"/>
          <bgColor rgb="FF0B0612"/>
        </patternFill>
      </fill>
      <alignment vertical="top"/>
    </dxf>
    <dxf>
      <font>
        <color rgb="FFFFF7FD"/>
        <name val="Aptos"/>
      </font>
      <fill>
        <patternFill patternType="solid">
          <fgColor indexed="64"/>
          <bgColor rgb="FF0B0612"/>
        </patternFill>
      </fill>
      <alignment vertical="top"/>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i/>
        <color rgb="FF58FCEC"/>
        <name val="Aptos"/>
      </font>
      <fill>
        <patternFill patternType="solid">
          <fgColor indexed="64"/>
          <bgColor rgb="FF1A0F24"/>
        </patternFill>
      </fill>
      <alignment vertical="top" wrapText="1"/>
    </dxf>
    <dxf>
      <font>
        <b/>
        <color rgb="FFFF4FB8"/>
        <name val="Aptos"/>
      </font>
      <fill>
        <patternFill patternType="solid">
          <fgColor indexed="64"/>
          <bgColor rgb="FF241331"/>
        </patternFill>
      </fill>
      <alignment vertical="top" wrapText="1"/>
    </dxf>
    <dxf>
      <font>
        <color rgb="FFFFF7FD"/>
        <name val="Aptos"/>
      </font>
      <fill>
        <patternFill patternType="solid">
          <fgColor indexed="64"/>
          <bgColor rgb="FF0B0612"/>
        </patternFill>
      </fill>
      <alignment vertical="top" wrapText="1"/>
    </dxf>
    <dxf>
      <font>
        <b/>
        <i val="0"/>
        <strike val="0"/>
        <condense val="0"/>
        <extend val="0"/>
        <outline val="0"/>
        <shadow val="0"/>
        <u val="none"/>
        <vertAlign val="baseline"/>
        <sz val="11"/>
        <color rgb="FF0B0612"/>
        <name val="Aptos"/>
        <scheme val="minor"/>
      </font>
      <fill>
        <patternFill patternType="solid">
          <fgColor indexed="64"/>
          <bgColor rgb="FFB77CFF"/>
        </patternFill>
      </fill>
      <alignment horizontal="center"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horizontal="general" vertical="top" textRotation="0" wrapText="1" indent="0" justifyLastLine="0" shrinkToFit="0" readingOrder="0"/>
    </dxf>
    <dxf>
      <font>
        <color rgb="FFFFF7FD"/>
        <name val="Aptos"/>
      </font>
      <fill>
        <patternFill patternType="solid">
          <fgColor indexed="64"/>
          <bgColor rgb="FF0B0612"/>
        </patternFill>
      </fill>
      <alignment horizontal="general" vertical="top" textRotation="0" wrapText="1" indent="0" justifyLastLine="0" shrinkToFit="0" readingOrder="0"/>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dxf>
    <dxf>
      <font>
        <color rgb="FFFFF7FD"/>
        <name val="Aptos"/>
      </font>
      <fill>
        <patternFill patternType="solid">
          <fgColor indexed="64"/>
          <bgColor rgb="FF0B0612"/>
        </patternFill>
      </fill>
      <alignment horizontal="general" vertical="top" textRotation="0" wrapText="1" indent="0" justifyLastLine="0" shrinkToFit="0" readingOrder="0"/>
    </dxf>
    <dxf>
      <font>
        <color rgb="FFFFF7FD"/>
        <name val="Aptos"/>
      </font>
      <fill>
        <patternFill patternType="solid">
          <fgColor indexed="64"/>
          <bgColor rgb="FF0B0612"/>
        </patternFill>
      </fill>
      <alignment horizontal="general" vertical="top" textRotation="0" wrapText="1" indent="0" justifyLastLine="0" shrinkToFit="0" readingOrder="0"/>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horizontal="center"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E694E0-AB34-4AED-A4B0-70F4A6C6FD9A}" name="Tableau1" displayName="Tableau1" ref="A118:C224" totalsRowShown="0" headerRowDxfId="100" dataDxfId="99">
  <autoFilter ref="A118:C224" xr:uid="{F2E694E0-AB34-4AED-A4B0-70F4A6C6FD9A}"/>
  <sortState xmlns:xlrd2="http://schemas.microsoft.com/office/spreadsheetml/2017/richdata2" ref="A119:C224">
    <sortCondition ref="A118:A224"/>
  </sortState>
  <tableColumns count="3">
    <tableColumn id="1" xr3:uid="{7684F4F8-1690-40E7-8A05-01AFE0046C3F}" name="Terme" dataDxfId="98"/>
    <tableColumn id="3" xr3:uid="{645CD0EB-C40A-4026-B888-B4DFF61D93B4}" name="Catégorie" dataDxfId="97"/>
    <tableColumn id="2" xr3:uid="{1E9A4EF6-F4B9-4A30-89F3-E1CBE358BC02}" name="Description" dataDxfId="96"/>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9A2F625-536D-4BB4-A715-44521A0BF713}" name="Tableau5" displayName="Tableau5" ref="A37:E62" totalsRowShown="0" headerRowDxfId="95" dataDxfId="94">
  <autoFilter ref="A37:E62" xr:uid="{19A2F625-536D-4BB4-A715-44521A0BF713}"/>
  <tableColumns count="5">
    <tableColumn id="1" xr3:uid="{E4DD7A07-8F59-478F-A205-1A9D73E02923}" name="Agent" dataDxfId="93"/>
    <tableColumn id="4" xr3:uid="{192DB2A5-732E-4639-AF11-42BEE1E52660}" name="Outil" dataDxfId="92"/>
    <tableColumn id="2" xr3:uid="{CC902B46-127A-47B5-97EB-2316787E39A1}" name="Description" dataDxfId="91"/>
    <tableColumn id="5" xr3:uid="{67653B42-7A91-4FAE-A366-C67349B5C19E}" name="Cas d'usage / Prompts" dataDxfId="90"/>
    <tableColumn id="3" xr3:uid="{84D4DADC-F2D1-4488-B730-C8BBD10C5C70}" name="Quand l'utiliser" dataDxfId="89"/>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675F539-DE25-4925-B6C7-40FC54A40625}" name="TableauConsolide" displayName="TableauConsolide" ref="A5:V22" totalsRowShown="0" headerRowDxfId="88" dataDxfId="87">
  <autoFilter ref="A5:V22" xr:uid="{9675F539-DE25-4925-B6C7-40FC54A40625}"/>
  <tableColumns count="22">
    <tableColumn id="1" xr3:uid="{26096A9F-090B-4462-A11F-FF5695A5A87D}" name="1️⃣ 🧭 Catégorie générique / repère" dataDxfId="86"/>
    <tableColumn id="2" xr3:uid="{31AB6292-E168-4D7E-9353-B8B2F0FE70EA}" name="2️⃣ 🎯 Besoin / intention du lecteur" dataDxfId="85"/>
    <tableColumn id="3" xr3:uid="{8AB366EE-1200-43E4-8AEB-5AA34E3B6094}" name="3️⃣ 🏷️ Microsoft" dataDxfId="84"/>
    <tableColumn id="4" xr3:uid="{1AAE1813-5818-4C4B-BAF5-FC0AE5BA5DF6}" name="3️⃣ 🏷️ Anthropic" dataDxfId="83"/>
    <tableColumn id="5" xr3:uid="{A317F7B5-6BB9-48F4-9502-2967DF8FF5F5}" name="3️⃣ 🏷️ OpenAI" dataDxfId="82"/>
    <tableColumn id="6" xr3:uid="{5FA7940D-DE75-4AA8-A215-C7C0A8512A63}" name="3️⃣ 🏷️ Google" dataDxfId="81"/>
    <tableColumn id="7" xr3:uid="{10950D0E-02D8-4F8F-8EA9-3871D9AA7F60}" name="3️⃣ 🏷️ Perplexity" dataDxfId="80"/>
    <tableColumn id="8" xr3:uid="{C9A420A3-EF97-42C8-B14C-59862764B684}" name="3️⃣ 🏷️ Salesforce" dataDxfId="79"/>
    <tableColumn id="9" xr3:uid="{74FB21AB-6285-4F52-B943-C6372FD7B93E}" name="3️⃣ 🏷️ ServiceNow" dataDxfId="78"/>
    <tableColumn id="10" xr3:uid="{011C63F1-5AB4-42F2-BF2A-F2E775841EF5}" name="3️⃣ 🏷️ SAP" dataDxfId="77"/>
    <tableColumn id="11" xr3:uid="{CBBA0A27-F029-4AD7-A618-A2B9D2341A8F}" name="3️⃣ 🏷️ Oracle" dataDxfId="76"/>
    <tableColumn id="12" xr3:uid="{63F34C1C-AC62-4FC3-A9A9-22C63C12BA52}" name="3️⃣ 🏷️ Atlassian" dataDxfId="75"/>
    <tableColumn id="13" xr3:uid="{7B7D332E-1E93-404B-AF1C-1B8CB78B5952}" name="3️⃣ 🏷️ Amazon" dataDxfId="74"/>
    <tableColumn id="14" xr3:uid="{580466D5-BA05-4A63-B707-415A7BEF61C2}" name="3️⃣ 🏷️ IBM" dataDxfId="73"/>
    <tableColumn id="15" xr3:uid="{88DF00A4-2660-47EE-9BC0-1D429335EDB0}" name="3️⃣ 🏷️ Meta" dataDxfId="72"/>
    <tableColumn id="16" xr3:uid="{27261DA4-FB0B-46B2-9AFA-DC5F44BB5BC1}" name="3️⃣ 🏷️ Mistral AI" dataDxfId="71"/>
    <tableColumn id="17" xr3:uid="{4C7AA2E4-EDAB-4C7A-B71C-8891070C417D}" name="3️⃣ 🏷️ Cohere" dataDxfId="70"/>
    <tableColumn id="18" xr3:uid="{6C934164-909C-48D2-B375-BA3D5C990858}" name="3️⃣ 🏷️ Hugging Face" dataDxfId="69"/>
    <tableColumn id="19" xr3:uid="{D229C10B-5FD8-4448-8DBD-70C7A7F1B2F7}" name="3️⃣ 🏷️ N8N" dataDxfId="68"/>
    <tableColumn id="20" xr3:uid="{B820B4EF-E3AB-4214-9307-8C233036B027}" name="3️⃣ 🏷️ Make" dataDxfId="67"/>
    <tableColumn id="21" xr3:uid="{FD82EFDC-B79A-49BC-8CAC-80EB51A84556}" name="3️⃣ 🏷️ Zapier" dataDxfId="66"/>
    <tableColumn id="22" xr3:uid="{F960955D-65D6-4DCC-9303-634A23D90DC1}" name="Index recherche — solutions" dataDxfId="65">
      <calculatedColumnFormula array="1">_xlfn.TEXTJOIN(" • ",TRUE,IF((C6:U6&lt;&gt;"—")*(C6:U6&lt;&gt;""),C6:U6,""))</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DDF4EEE-E50B-4023-B2AE-D75EC9BDFD6F}" name="Tableau8" displayName="Tableau8" ref="A31:D39" totalsRowShown="0" headerRowDxfId="64" dataDxfId="63">
  <autoFilter ref="A31:D39" xr:uid="{ADDF4EEE-E50B-4023-B2AE-D75EC9BDFD6F}"/>
  <tableColumns count="4">
    <tableColumn id="1" xr3:uid="{599D76A7-528D-4B9E-8F86-F147285E2A9D}" name="Repère" dataDxfId="62"/>
    <tableColumn id="2" xr3:uid="{EAF6BF54-2906-4C94-AF9D-B8069A5DAE78}" name="Nature" dataDxfId="61"/>
    <tableColumn id="3" xr3:uid="{7464192D-284F-456F-A935-318A4EB8029D}" name="Description" dataDxfId="60"/>
    <tableColumn id="4" xr3:uid="{B0D65618-1B5E-4C5A-ACD8-2ABCDE27EBF2}" name="Exemples dans ce parcours" dataDxfId="59"/>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7D179A4-938A-4E6C-B202-A0D78771812B}" name="Tableau7" displayName="Tableau7" ref="A20:J28" totalsRowShown="0" headerRowDxfId="58" dataDxfId="57">
  <autoFilter ref="A20:J28" xr:uid="{47D179A4-938A-4E6C-B202-A0D78771812B}"/>
  <tableColumns count="10">
    <tableColumn id="1" xr3:uid="{93188F5E-86D4-4B44-A7C0-7B7BF2457299}" name="Certification" dataDxfId="56"/>
    <tableColumn id="2" xr3:uid="{203B31F0-7487-4CE7-95B9-9E2264A809D7}" name="Niveau" dataDxfId="55"/>
    <tableColumn id="3" xr3:uid="{C14BEF3B-4D85-4A3B-A6E7-4E74EDCC41F5}" name="Titre" dataDxfId="54"/>
    <tableColumn id="4" xr3:uid="{12127D4B-4C76-408D-9CED-BFE4B6A63B10}" name="Pour qui ?" dataDxfId="53"/>
    <tableColumn id="5" xr3:uid="{362006E7-02C9-470C-9764-BD2ED0858D8E}" name="Objectif et compétences clés" dataDxfId="52"/>
    <tableColumn id="6" xr3:uid="{E6CB48A6-5DC8-47B1-AF28-2E260915CC1D}" name="Priorité" dataDxfId="51"/>
    <tableColumn id="7" xr3:uid="{D24D292E-DBC0-404F-941C-CFEBE4335D3B}" name="Ordre" dataDxfId="50"/>
    <tableColumn id="8" xr3:uid="{CB9CF23A-9387-40D9-91CC-DB42280CFC22}" name="Intérêt / moment conseillé" dataDxfId="49"/>
    <tableColumn id="9" xr3:uid="{A9CD7D5E-8DF0-4455-844D-7A2BD967E6EA}" name="Lien officiel" dataDxfId="48"/>
    <tableColumn id="10" xr3:uid="{BC67CCC5-7731-4053-AF63-CCC525FB3931}" name="Prix de l’examen" dataDxfId="47"/>
  </tableColumns>
  <tableStyleInfo name="TableStyleMedium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B5C39-1DF7-41B0-8F69-153B76B86DE8}" name="BibliothequePrompts" displayName="BibliothequePrompts" ref="A4:U44" totalsRowShown="0" headerRowDxfId="46" dataDxfId="45">
  <autoFilter ref="A4:U44" xr:uid="{49FB5C39-1DF7-41B0-8F69-153B76B86DE8}"/>
  <tableColumns count="21">
    <tableColumn id="1" xr3:uid="{2D47303B-1FA8-4340-B41D-A6EA5183B42F}" name="ID" dataDxfId="44"/>
    <tableColumn id="2" xr3:uid="{20D7D700-1729-409B-82A9-A585117CA0DD}" name="Titre" dataDxfId="43"/>
    <tableColumn id="3" xr3:uid="{4E80F312-E703-445D-945C-7344CCAAC273}" name="Besoin / intention" dataDxfId="42"/>
    <tableColumn id="4" xr3:uid="{EF5B712A-D7D5-4EE4-AC85-2BF96723279F}" name="Catégorie" dataDxfId="41"/>
    <tableColumn id="5" xr3:uid="{2A3333EB-1B60-47EE-8C48-FF8F74D3450F}" name="Métier" dataDxfId="40"/>
    <tableColumn id="6" xr3:uid="{C8D24047-D908-4BF8-BCAD-A05FF4CB2E84}" name="Outil" dataDxfId="39"/>
    <tableColumn id="7" xr3:uid="{815EE044-C0B3-4571-AF59-9C4426323B89}" name="Application" dataDxfId="38"/>
    <tableColumn id="8" xr3:uid="{CB844557-BB7E-4F86-B2FE-195E21979F14}" name="Tâche" dataDxfId="37"/>
    <tableColumn id="9" xr3:uid="{12B5342B-9FFC-4113-9F63-E44F28DE33AB}" name="Prompt" dataDxfId="36"/>
    <tableColumn id="10" xr3:uid="{9699A6EA-3F79-4629-AAF3-2B9F4E2DAE7C}" name="Variables" dataDxfId="35"/>
    <tableColumn id="11" xr3:uid="{5230F7D9-CA10-485F-A0C6-B574C2CB4347}" name="Prérequis" dataDxfId="34"/>
    <tableColumn id="12" xr3:uid="{C48BE85C-77F7-44BB-82F9-340613E3CD06}" name="Résultat attendu" dataDxfId="33"/>
    <tableColumn id="13" xr3:uid="{6F350B2C-4F0C-4A59-A6D8-45543A1181F5}" name="Signal de maturité" dataDxfId="32"/>
    <tableColumn id="14" xr3:uid="{829B5C36-75F6-4921-9984-C810F289B192}" name="Technique" dataDxfId="31"/>
    <tableColumn id="15" xr3:uid="{EB3255C1-C718-461A-BF4A-C4B33F4E7505}" name="Source" dataDxfId="30"/>
    <tableColumn id="16" xr3:uid="{9DA43963-2D34-4E47-8104-336E4BCF3869}" name="URL source" dataDxfId="29"/>
    <tableColumn id="17" xr3:uid="{85BA132B-7066-4E35-8BD4-EA7239BF4D6F}" name="Auteur" dataDxfId="28"/>
    <tableColumn id="18" xr3:uid="{9B841F2B-3908-425E-8B37-2525A1FD4F9E}" name="Licence" dataDxfId="27"/>
    <tableColumn id="19" xr3:uid="{630BAB90-6418-447B-B1B9-2D38496575B9}" name="Date collecte" dataDxfId="26"/>
    <tableColumn id="20" xr3:uid="{70119B6A-DA63-4401-B16A-3E0E39A8214E}" name="Statut" dataDxfId="25"/>
    <tableColumn id="21" xr3:uid="{E3B34E8A-B994-4BA1-A22D-FB41D69E2FDD}" name="Nature source" dataDxfId="24"/>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9DDDE89-A5CD-48BF-8A38-7DC6ADB5B144}" name="SourcesPrompts" displayName="SourcesPrompts" ref="A4:G11" totalsRowShown="0" headerRowDxfId="23" dataDxfId="22">
  <autoFilter ref="A4:G11" xr:uid="{39DDDE89-A5CD-48BF-8A38-7DC6ADB5B144}"/>
  <tableColumns count="7">
    <tableColumn id="1" xr3:uid="{69E4C6F2-1FDA-4EEA-8B2E-B1AA0B88DE11}" name="📚 Source" dataDxfId="21"/>
    <tableColumn id="2" xr3:uid="{1AD598C4-311B-4F21-8F69-33453FF92E98}" name="Type" dataDxfId="20"/>
    <tableColumn id="3" xr3:uid="{1ADC7644-7C3B-4D50-B674-D2DEA9B8F089}" name="URL" dataDxfId="19"/>
    <tableColumn id="4" xr3:uid="{54E77C50-128F-4382-9115-75C9C87D2D1D}" name="Priorité" dataDxfId="18"/>
    <tableColumn id="5" xr3:uid="{705A21F7-D237-471B-BB31-1D088FAA7F42}" name="Fiabilité" dataDxfId="17"/>
    <tableColumn id="6" xr3:uid="{C9E4FA7D-B7F9-486E-80B1-8C7AAAEA3CDE}" name="Licence / réutilisation" dataDxfId="16"/>
    <tableColumn id="7" xr3:uid="{0CD6AA52-5489-432D-BF5B-4A6008CECDE7}" name="Règle de collecte" dataDxfId="15"/>
  </tableColumns>
  <tableStyleInfo name="TableStyleMedium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C19A686-8FD1-4304-8991-22CEBB9E9E70}" name="EvaluationsPrompts" displayName="EvaluationsPrompts" ref="A4:M28" totalsRowShown="0" headerRowDxfId="14" dataDxfId="13">
  <autoFilter ref="A4:M28" xr:uid="{DC19A686-8FD1-4304-8991-22CEBB9E9E70}"/>
  <tableColumns count="13">
    <tableColumn id="1" xr3:uid="{2A7E3A0A-2DA8-4439-AA80-EB289D67FE9C}" name="Prompt ID" dataDxfId="12"/>
    <tableColumn id="2" xr3:uid="{CA9E4827-E682-4ED6-879A-9AF3737A3347}" name="Titre" dataDxfId="11"/>
    <tableColumn id="3" xr3:uid="{B0C0A7F2-6968-4334-903B-9B3E2A526A7B}" name="Modèle testé" dataDxfId="10"/>
    <tableColumn id="4" xr3:uid="{181E3C25-250D-4894-9CC2-6FDFC405486F}" name="Date test" dataDxfId="9"/>
    <tableColumn id="5" xr3:uid="{69A6A0DD-CA47-42DF-AEAE-07739BE7D82C}" name="Clarté" dataDxfId="8"/>
    <tableColumn id="6" xr3:uid="{A18889A9-A25B-485D-97E3-7C28F805673A}" name="Respect consignes" dataDxfId="7"/>
    <tableColumn id="7" xr3:uid="{92F86674-730F-435A-8A52-7667638D8B3D}" name="Exactitude" dataDxfId="6"/>
    <tableColumn id="8" xr3:uid="{929282EE-E791-4E23-A0EA-65C3BCF9C848}" name="Réutilisabilité" dataDxfId="5"/>
    <tableColumn id="9" xr3:uid="{E4DC8E2F-AA9B-4467-8C52-796ABC3C6E0C}" name="Sécurité" dataDxfId="4"/>
    <tableColumn id="10" xr3:uid="{7CB83F78-8715-4382-99BA-B566D82B93FD}" name="Qualité format" dataDxfId="3"/>
    <tableColumn id="11" xr3:uid="{8AF83944-C8BB-424A-9942-58EF47A3F237}" name="Score moyen" dataDxfId="2">
      <calculatedColumnFormula>IF(COUNTA(E5:J5)=0,"",AVERAGE(E5:J5))</calculatedColumnFormula>
    </tableColumn>
    <tableColumn id="12" xr3:uid="{7B055EF1-F3AD-42A8-AD5C-0E571ABE3028}" name="✅ Décision" dataDxfId="1"/>
    <tableColumn id="13" xr3:uid="{0CF6BD83-A8E0-4FB3-9827-ACDAFEFC2C1B}" name="Notes de test" dataDxfId="0"/>
  </tableColumns>
  <tableStyleInfo name="TableStyleMedium4"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hyperlink" Target="https://learn.microsoft.com/fr-fr/credentials/certifications/ai-business-professional/"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F901E-D008-489B-8389-0CF8F8FF286D}">
  <sheetPr>
    <tabColor rgb="FFFF4FB8"/>
  </sheetPr>
  <dimension ref="A1:C55"/>
  <sheetViews>
    <sheetView showGridLines="0" tabSelected="1" zoomScaleNormal="100" workbookViewId="0">
      <selection activeCell="A2" sqref="A2:B2"/>
    </sheetView>
  </sheetViews>
  <sheetFormatPr baseColWidth="10" defaultRowHeight="14.5" x14ac:dyDescent="0.35"/>
  <cols>
    <col min="1" max="1" width="40" customWidth="1"/>
    <col min="2" max="2" width="80.453125" customWidth="1"/>
    <col min="3" max="3" width="1.81640625" bestFit="1" customWidth="1"/>
    <col min="4" max="8" width="14.54296875" customWidth="1"/>
  </cols>
  <sheetData>
    <row r="1" spans="1:2" ht="48" customHeight="1" x14ac:dyDescent="0.35">
      <c r="A1" s="108" t="s">
        <v>1157</v>
      </c>
      <c r="B1" s="108"/>
    </row>
    <row r="2" spans="1:2" ht="30" customHeight="1" x14ac:dyDescent="0.35">
      <c r="A2" s="109" t="s">
        <v>1158</v>
      </c>
      <c r="B2" s="109"/>
    </row>
    <row r="3" spans="1:2" ht="36" customHeight="1" x14ac:dyDescent="0.35">
      <c r="A3" s="110" t="s">
        <v>1159</v>
      </c>
      <c r="B3" s="110"/>
    </row>
    <row r="4" spans="1:2" x14ac:dyDescent="0.35">
      <c r="A4" s="33"/>
      <c r="B4" s="33"/>
    </row>
    <row r="5" spans="1:2" x14ac:dyDescent="0.35">
      <c r="A5" s="113" t="s">
        <v>1101</v>
      </c>
      <c r="B5" s="113"/>
    </row>
    <row r="6" spans="1:2" ht="48" customHeight="1" x14ac:dyDescent="0.35">
      <c r="A6" s="82" t="str">
        <f>ROWS(Tableau1[#Data])&amp;" notions"</f>
        <v>106 notions</v>
      </c>
      <c r="B6" s="83" t="str">
        <f>ROWS(TableauConsolide[#Data])&amp;" besoins"</f>
        <v>17 besoins</v>
      </c>
    </row>
    <row r="7" spans="1:2" x14ac:dyDescent="0.35">
      <c r="A7" s="84" t="s">
        <v>1008</v>
      </c>
      <c r="B7" s="84" t="s">
        <v>1009</v>
      </c>
    </row>
    <row r="8" spans="1:2" x14ac:dyDescent="0.35">
      <c r="A8" s="33"/>
      <c r="B8" s="33"/>
    </row>
    <row r="9" spans="1:2" ht="48" customHeight="1" x14ac:dyDescent="0.35">
      <c r="A9" s="82" t="str">
        <f>ROWS(Tableau5[#Data])&amp;" agents"</f>
        <v>25 agents</v>
      </c>
      <c r="B9" s="83" t="str">
        <f>ROWS(BibliothequePrompts[ID])&amp;" prompts"</f>
        <v>40 prompts</v>
      </c>
    </row>
    <row r="10" spans="1:2" x14ac:dyDescent="0.35">
      <c r="A10" s="84" t="s">
        <v>1010</v>
      </c>
      <c r="B10" s="84" t="s">
        <v>1011</v>
      </c>
    </row>
    <row r="11" spans="1:2" x14ac:dyDescent="0.35">
      <c r="A11" s="33"/>
      <c r="B11" s="33"/>
    </row>
    <row r="12" spans="1:2" ht="28.5" x14ac:dyDescent="0.35">
      <c r="A12" s="82" t="str">
        <f>ROWS(Tableau7[#Data])&amp;" parcours"</f>
        <v>8 parcours</v>
      </c>
      <c r="B12" s="83" t="str">
        <f>ROWS(SourcesPrompts[#Data])&amp;" sources"</f>
        <v>7 sources</v>
      </c>
    </row>
    <row r="13" spans="1:2" x14ac:dyDescent="0.35">
      <c r="A13" s="84" t="s">
        <v>1012</v>
      </c>
      <c r="B13" s="84" t="s">
        <v>1013</v>
      </c>
    </row>
    <row r="14" spans="1:2" x14ac:dyDescent="0.35">
      <c r="A14" s="33"/>
      <c r="B14" s="33"/>
    </row>
    <row r="15" spans="1:2" x14ac:dyDescent="0.35">
      <c r="A15" s="114" t="s">
        <v>1102</v>
      </c>
      <c r="B15" s="114"/>
    </row>
    <row r="16" spans="1:2" x14ac:dyDescent="0.35">
      <c r="A16" s="39" t="s">
        <v>1103</v>
      </c>
      <c r="B16" s="64" t="s">
        <v>1104</v>
      </c>
    </row>
    <row r="17" spans="1:3" x14ac:dyDescent="0.35">
      <c r="A17" s="36" t="s">
        <v>1155</v>
      </c>
      <c r="B17" s="64" t="s">
        <v>1106</v>
      </c>
    </row>
    <row r="18" spans="1:3" x14ac:dyDescent="0.35">
      <c r="A18" s="79" t="s">
        <v>1107</v>
      </c>
      <c r="B18" s="64" t="s">
        <v>1108</v>
      </c>
    </row>
    <row r="19" spans="1:3" x14ac:dyDescent="0.35">
      <c r="A19" s="80" t="s">
        <v>1109</v>
      </c>
      <c r="B19" s="64" t="s">
        <v>1110</v>
      </c>
    </row>
    <row r="20" spans="1:3" x14ac:dyDescent="0.35">
      <c r="A20" s="81" t="s">
        <v>1111</v>
      </c>
      <c r="B20" s="64" t="s">
        <v>1156</v>
      </c>
    </row>
    <row r="21" spans="1:3" ht="16" x14ac:dyDescent="0.35">
      <c r="A21" s="117" t="s">
        <v>1014</v>
      </c>
      <c r="B21" s="118"/>
    </row>
    <row r="22" spans="1:3" x14ac:dyDescent="0.35">
      <c r="A22" s="89" t="s">
        <v>1148</v>
      </c>
      <c r="B22" s="92" t="s">
        <v>1017</v>
      </c>
    </row>
    <row r="23" spans="1:3" x14ac:dyDescent="0.35">
      <c r="A23" s="88" t="s">
        <v>1146</v>
      </c>
      <c r="B23" s="92" t="s">
        <v>1015</v>
      </c>
    </row>
    <row r="24" spans="1:3" x14ac:dyDescent="0.35">
      <c r="A24" s="88" t="s">
        <v>1147</v>
      </c>
      <c r="B24" s="92" t="s">
        <v>1016</v>
      </c>
    </row>
    <row r="25" spans="1:3" x14ac:dyDescent="0.35">
      <c r="A25" s="90" t="s">
        <v>1149</v>
      </c>
      <c r="B25" s="92" t="s">
        <v>1018</v>
      </c>
    </row>
    <row r="26" spans="1:3" x14ac:dyDescent="0.35">
      <c r="A26" s="91" t="s">
        <v>1151</v>
      </c>
      <c r="B26" s="92" t="s">
        <v>1020</v>
      </c>
      <c r="C26">
        <f>COUNTIF($B$37:$B$40,"*COMPRENDRE*")</f>
        <v>0</v>
      </c>
    </row>
    <row r="27" spans="1:3" x14ac:dyDescent="0.35">
      <c r="A27" s="91" t="s">
        <v>1152</v>
      </c>
      <c r="B27" s="92" t="s">
        <v>1021</v>
      </c>
      <c r="C27">
        <v>2</v>
      </c>
    </row>
    <row r="28" spans="1:3" x14ac:dyDescent="0.35">
      <c r="A28" s="91" t="s">
        <v>1153</v>
      </c>
      <c r="B28" s="92" t="s">
        <v>1022</v>
      </c>
      <c r="C28">
        <f>COUNTIF($B$37:$B$40,"*AGIR*")</f>
        <v>1</v>
      </c>
    </row>
    <row r="29" spans="1:3" x14ac:dyDescent="0.35">
      <c r="A29" s="91" t="s">
        <v>1154</v>
      </c>
      <c r="B29" s="92" t="s">
        <v>1023</v>
      </c>
      <c r="C29">
        <f>COUNTIF($B$37:$B$40,"*EXPÉRIMENTER*")</f>
        <v>2</v>
      </c>
    </row>
    <row r="30" spans="1:3" x14ac:dyDescent="0.35">
      <c r="A30" s="94" t="s">
        <v>1150</v>
      </c>
      <c r="B30" s="93" t="s">
        <v>1019</v>
      </c>
      <c r="C30">
        <f>COUNTIF($B$37:$B$40,"*PROGRESSER*")</f>
        <v>0</v>
      </c>
    </row>
    <row r="31" spans="1:3" x14ac:dyDescent="0.35">
      <c r="A31" s="33"/>
      <c r="B31" s="33"/>
    </row>
    <row r="32" spans="1:3" ht="25" thickBot="1" x14ac:dyDescent="0.4">
      <c r="A32" s="115" t="s">
        <v>1160</v>
      </c>
      <c r="B32" s="115"/>
    </row>
    <row r="33" spans="1:2" ht="15" thickTop="1" x14ac:dyDescent="0.35">
      <c r="A33" s="116"/>
      <c r="B33" s="116"/>
    </row>
    <row r="34" spans="1:2" ht="21" x14ac:dyDescent="0.35">
      <c r="A34" s="119" t="s">
        <v>1273</v>
      </c>
      <c r="B34" s="119"/>
    </row>
    <row r="35" spans="1:2" x14ac:dyDescent="0.35">
      <c r="A35" s="111" t="s">
        <v>1144</v>
      </c>
      <c r="B35" s="111"/>
    </row>
    <row r="36" spans="1:2" x14ac:dyDescent="0.35">
      <c r="A36" s="120" t="s">
        <v>1145</v>
      </c>
      <c r="B36" s="120"/>
    </row>
    <row r="37" spans="1:2" x14ac:dyDescent="0.35">
      <c r="A37" s="85" t="s">
        <v>1133</v>
      </c>
      <c r="B37" s="86" t="s">
        <v>1109</v>
      </c>
    </row>
    <row r="38" spans="1:2" x14ac:dyDescent="0.35">
      <c r="A38" s="85" t="s">
        <v>1134</v>
      </c>
      <c r="B38" s="86" t="s">
        <v>1107</v>
      </c>
    </row>
    <row r="39" spans="1:2" x14ac:dyDescent="0.35">
      <c r="A39" s="85" t="s">
        <v>1135</v>
      </c>
      <c r="B39" s="86" t="s">
        <v>1109</v>
      </c>
    </row>
    <row r="40" spans="1:2" x14ac:dyDescent="0.35">
      <c r="A40" s="85" t="s">
        <v>1141</v>
      </c>
      <c r="B40" s="86" t="s">
        <v>1105</v>
      </c>
    </row>
    <row r="41" spans="1:2" ht="17" x14ac:dyDescent="0.35">
      <c r="A41" s="121" t="str">
        <f>CHOOSE(MATCH(MAX($C$26:$C$30),$C$26:$C$30,0),"🟣 VOTRE COULEUR : VIOLET ORCHIDÉE — L’EXPLORATEUR DU SENS","🔷 VOTRE COULEUR : CYAN GLACÉ — LE NAVIGATEUR","🟢 VOTRE COULEUR : VERT MENTHE — LE BÂTISSEUR","🩷 VOTRE COULEUR : FRAMBOISE NÉON — L’EXPÉRIMENTATEUR","🟡 VOTRE COULEUR : AMBRE — L’ASCENSIONNEL")</f>
        <v>🔷 VOTRE COULEUR : CYAN GLACÉ — LE NAVIGATEUR</v>
      </c>
      <c r="B41" s="121"/>
    </row>
    <row r="42" spans="1:2" x14ac:dyDescent="0.35">
      <c r="A42" s="87" t="s">
        <v>1142</v>
      </c>
      <c r="B42" s="85" t="str">
        <f>CHOOSE(MATCH(MAX($C$26:$C$30),$C$26:$C$30,0),"Glossaire + PPT","Recherche guidée + Usages &amp; Solutions","Agents","Prompts + Évaluations prompts","Certifications")</f>
        <v>Recherche guidée + Usages &amp; Solutions</v>
      </c>
    </row>
    <row r="43" spans="1:2" x14ac:dyDescent="0.35">
      <c r="A43" s="87" t="s">
        <v>1143</v>
      </c>
      <c r="B43" s="85" t="str">
        <f>CHOOSE(MATCH(MAX($C$26:$C$30),$C$26:$C$30,0),"Expliquez une notion IA complexe à un collègue sans jargon.","Comparez trois solutions IA sur un besoin réel de votre équipe.","Confiez une tâche métier complète à un agent et mesurez le temps gagné.","Testez un prompt sur un vrai livrable et documentez ce qui change.","Choisissez une certification et bloquez votre première session d’apprentissage.")</f>
        <v>Comparez trois solutions IA sur un besoin réel de votre équipe.</v>
      </c>
    </row>
    <row r="44" spans="1:2" x14ac:dyDescent="0.35">
      <c r="A44" s="33"/>
      <c r="B44" s="33"/>
    </row>
    <row r="45" spans="1:2" x14ac:dyDescent="0.35">
      <c r="A45" s="112" t="s">
        <v>1024</v>
      </c>
      <c r="B45" s="112"/>
    </row>
    <row r="46" spans="1:2" ht="29" x14ac:dyDescent="0.35">
      <c r="A46" s="39" t="s">
        <v>1025</v>
      </c>
      <c r="B46" s="37" t="s">
        <v>1026</v>
      </c>
    </row>
    <row r="47" spans="1:2" ht="29" x14ac:dyDescent="0.35">
      <c r="A47" s="39" t="s">
        <v>1027</v>
      </c>
      <c r="B47" s="37" t="s">
        <v>1028</v>
      </c>
    </row>
    <row r="48" spans="1:2" ht="29" x14ac:dyDescent="0.35">
      <c r="A48" s="39" t="s">
        <v>1029</v>
      </c>
      <c r="B48" s="37" t="s">
        <v>1030</v>
      </c>
    </row>
    <row r="49" spans="1:2" x14ac:dyDescent="0.35">
      <c r="A49" s="39" t="s">
        <v>1031</v>
      </c>
      <c r="B49" s="37" t="s">
        <v>1032</v>
      </c>
    </row>
    <row r="50" spans="1:2" ht="29" x14ac:dyDescent="0.35">
      <c r="A50" s="39" t="s">
        <v>1033</v>
      </c>
      <c r="B50" s="37" t="s">
        <v>1034</v>
      </c>
    </row>
    <row r="51" spans="1:2" x14ac:dyDescent="0.35">
      <c r="A51" s="39" t="s">
        <v>1035</v>
      </c>
      <c r="B51" s="37" t="s">
        <v>1036</v>
      </c>
    </row>
    <row r="52" spans="1:2" x14ac:dyDescent="0.35">
      <c r="A52" s="39" t="s">
        <v>1037</v>
      </c>
      <c r="B52" s="37" t="s">
        <v>1038</v>
      </c>
    </row>
    <row r="53" spans="1:2" x14ac:dyDescent="0.35">
      <c r="A53" s="39" t="s">
        <v>1039</v>
      </c>
      <c r="B53" s="37" t="s">
        <v>1040</v>
      </c>
    </row>
    <row r="54" spans="1:2" x14ac:dyDescent="0.35">
      <c r="A54" s="39" t="s">
        <v>1041</v>
      </c>
      <c r="B54" s="37" t="s">
        <v>1132</v>
      </c>
    </row>
    <row r="55" spans="1:2" ht="29" x14ac:dyDescent="0.35">
      <c r="A55" s="40" t="s">
        <v>1042</v>
      </c>
      <c r="B55" s="38" t="s">
        <v>1043</v>
      </c>
    </row>
  </sheetData>
  <mergeCells count="13">
    <mergeCell ref="A1:B1"/>
    <mergeCell ref="A2:B2"/>
    <mergeCell ref="A3:B3"/>
    <mergeCell ref="A35:B35"/>
    <mergeCell ref="A45:B45"/>
    <mergeCell ref="A5:B5"/>
    <mergeCell ref="A15:B15"/>
    <mergeCell ref="A32:B32"/>
    <mergeCell ref="A33:B33"/>
    <mergeCell ref="A21:B21"/>
    <mergeCell ref="A34:B34"/>
    <mergeCell ref="A36:B36"/>
    <mergeCell ref="A41:B41"/>
  </mergeCells>
  <dataValidations count="1">
    <dataValidation type="list" allowBlank="1" showInputMessage="1" showErrorMessage="1" sqref="B37:B40" xr:uid="{DEB458EA-F059-404F-85FE-8C8E025B856B}">
      <formula1>"🔎 COMPRENDRE,🧭 CHOISIR,⚡ AGIR,🧪 EXPÉRIMENTER,🚀 PROGRESSER"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2158C-72F9-48D7-8B2B-782B6258A08C}">
  <sheetPr>
    <tabColor rgb="FFB77CFF"/>
  </sheetPr>
  <dimension ref="A1:C224"/>
  <sheetViews>
    <sheetView showGridLines="0" workbookViewId="0">
      <pane ySplit="7" topLeftCell="A8" activePane="bottomLeft" state="frozen"/>
      <selection pane="bottomLeft" activeCell="B4" sqref="B4:C4"/>
    </sheetView>
  </sheetViews>
  <sheetFormatPr baseColWidth="10" defaultRowHeight="14.5" x14ac:dyDescent="0.35"/>
  <cols>
    <col min="1" max="1" width="32.7265625" customWidth="1"/>
    <col min="2" max="2" width="20.90625" customWidth="1"/>
    <col min="3" max="3" width="66.90625" customWidth="1"/>
  </cols>
  <sheetData>
    <row r="1" spans="1:3" ht="36" customHeight="1" thickBot="1" x14ac:dyDescent="0.4">
      <c r="A1" s="103" t="s">
        <v>685</v>
      </c>
      <c r="B1" s="103"/>
      <c r="C1" s="103"/>
    </row>
    <row r="2" spans="1:3" ht="30" customHeight="1" thickTop="1" x14ac:dyDescent="0.35">
      <c r="A2" s="104" t="s">
        <v>686</v>
      </c>
      <c r="B2" s="104"/>
      <c r="C2" s="104"/>
    </row>
    <row r="3" spans="1:3" x14ac:dyDescent="0.35">
      <c r="A3" s="32"/>
      <c r="B3" s="32"/>
      <c r="C3" s="32"/>
    </row>
    <row r="4" spans="1:3" ht="28" customHeight="1" x14ac:dyDescent="0.35">
      <c r="A4" s="43" t="s">
        <v>1113</v>
      </c>
      <c r="B4" s="105"/>
      <c r="C4" s="106"/>
    </row>
    <row r="5" spans="1:3" ht="28" customHeight="1" x14ac:dyDescent="0.35">
      <c r="A5" s="107" t="s">
        <v>687</v>
      </c>
      <c r="B5" s="107"/>
      <c r="C5" s="107"/>
    </row>
    <row r="6" spans="1:3" x14ac:dyDescent="0.35">
      <c r="A6" s="32"/>
      <c r="B6" s="32"/>
      <c r="C6" s="32"/>
    </row>
    <row r="7" spans="1:3" x14ac:dyDescent="0.35">
      <c r="A7" s="55" t="s">
        <v>0</v>
      </c>
      <c r="B7" s="54" t="s">
        <v>90</v>
      </c>
      <c r="C7" s="56" t="s">
        <v>1</v>
      </c>
    </row>
    <row r="8" spans="1:3" ht="58" x14ac:dyDescent="0.35">
      <c r="A8" s="57" t="str" cm="1">
        <f t="array" ref="A8:C113">_xlfn.LET(_xlpm.q,LOWER(TRIM($B$4)),_xlpm.terms,Tableau1[Terme],_xlpm.cats,Tableau1[Catégorie],_xlpm.descs,Tableau1[Description],_xlpm.result,_xlfn.HSTACK(_xlpm.terms,_xlpm.cats,_xlpm.descs),_xlpm.hay,LOWER(_xlpm.terms&amp;" "&amp;_xlpm.cats&amp;" "&amp;_xlpm.descs),IF(_xlpm.q="",_xlfn._xlws.SORT(_xlpm.result,1,1),IFERROR(_xlfn._xlws.SORT(_xlfn._xlws.FILTER(_xlpm.result,ISNUMBER(SEARCH(_xlpm.q,_xlpm.hay))),1,1),"Aucun résultat : essayez un terme plus simple ou un synonyme")))</f>
        <v>Adaptive Cards</v>
      </c>
      <c r="B8" s="51" t="str">
        <v>Copilot</v>
      </c>
      <c r="C8" s="37" t="str">
        <v>Composants interactifs utilisés dans Teams et Copilot Studio.
La certification mentionne les Adaptive Cards parmi les connaissances attendues.</v>
      </c>
    </row>
    <row r="9" spans="1:3" ht="101.5" x14ac:dyDescent="0.35">
      <c r="A9" s="57" t="str">
        <v>Agent</v>
      </c>
      <c r="B9" s="51" t="str">
        <v>Agentique</v>
      </c>
      <c r="C9" s="37" t="str">
        <v>Assistant IA orienté objectif.
Il peut :
raisonner ;
rechercher ;
agir.</v>
      </c>
    </row>
    <row r="10" spans="1:3" ht="29" x14ac:dyDescent="0.35">
      <c r="A10" s="57" t="str">
        <v>Agent Flow</v>
      </c>
      <c r="B10" s="51" t="str">
        <v>Copilot</v>
      </c>
      <c r="C10" s="37" t="str">
        <v>Mécanisme d'automatisation propre à Copilot Studio permettant d'intégrer applications et services via des flux d'agents.</v>
      </c>
    </row>
    <row r="11" spans="1:3" ht="43.5" x14ac:dyDescent="0.35">
      <c r="A11" s="57" t="str">
        <v>Agent2Agent (A2A)</v>
      </c>
      <c r="B11" s="51" t="str">
        <v>Agentique</v>
      </c>
      <c r="C11" s="37" t="str">
        <v>Communication entre agents.
Également cité dans le périmètre de la certification.</v>
      </c>
    </row>
    <row r="12" spans="1:3" ht="130.5" x14ac:dyDescent="0.35">
      <c r="A12" s="57" t="str">
        <v>Agentic AI</v>
      </c>
      <c r="B12" s="51" t="str">
        <v>Agentique</v>
      </c>
      <c r="C12" s="37" t="str">
        <v>Systèmes d'agents autonomes capables de :
planifier ;
prendre des décisions ;
exécuter des actions.
Les ressources internes Atos décrivent les agents IA comme des programmes capables de prendre des décisions et d'exécuter des actions, éventuellement avec supervision humaine.</v>
      </c>
    </row>
    <row r="13" spans="1:3" ht="43.5" x14ac:dyDescent="0.35">
      <c r="A13" s="57" t="str">
        <v>Alignment</v>
      </c>
      <c r="B13" s="51" t="str">
        <v>Sécurité</v>
      </c>
      <c r="C13" s="37" t="str">
        <v>Processus visant à aligner le comportement d'un modèle IA sur les valeurs et intentions humaines. Inclut RLHF, constitutional AI, et autres techniques pour rendre l'IA utile, honnête et inoffensive.</v>
      </c>
    </row>
    <row r="14" spans="1:3" ht="43.5" x14ac:dyDescent="0.35">
      <c r="A14" s="57" t="str">
        <v>Anthropic</v>
      </c>
      <c r="B14" s="51" t="str">
        <v>Généralité</v>
      </c>
      <c r="C14" s="37" t="str">
        <v>Entreprise d'IA fondée par d'anciens membres d'OpenAI. Créateur de Claude. Focus sur la sécurité de l'IA (AI Safety) et l'alignement. Techniques notables : Constitutional AI, RLHF.</v>
      </c>
    </row>
    <row r="15" spans="1:3" ht="43.5" x14ac:dyDescent="0.35">
      <c r="A15" s="57" t="str">
        <v>API</v>
      </c>
      <c r="B15" s="51" t="str">
        <v>Architecture</v>
      </c>
      <c r="C15" s="37" t="str">
        <v>Application Programming Interface. Interface permettant à des applications de communiquer entre elles. Les LLM sont généralement accessibles via des APIs REST (OpenAI API, Azure OpenAI, etc.).</v>
      </c>
    </row>
    <row r="16" spans="1:3" ht="43.5" x14ac:dyDescent="0.35">
      <c r="A16" s="57" t="str">
        <v>Attention (mécanisme)</v>
      </c>
      <c r="B16" s="51" t="str">
        <v>Architecture</v>
      </c>
      <c r="C16" s="37" t="str">
        <v>Mécanisme fondamental des Transformers permettant au modèle de pondérer l'importance relative de chaque mot/token par rapport aux autres dans une séquence. Permet de capturer les relations contextuelles.</v>
      </c>
    </row>
    <row r="17" spans="1:3" ht="43.5" x14ac:dyDescent="0.35">
      <c r="A17" s="57" t="str">
        <v>Auto Rewrite</v>
      </c>
      <c r="B17" s="51" t="str">
        <v>Copilot</v>
      </c>
      <c r="C17" s="37" t="str">
        <v>Nouvelle fonctionnalité dans Word. Sert à reformuler un texte existant en modifiant le ton, le style ou la clarté. C'est donc l'outil adapté pour transformer un paragraphe en un texte plus formel.</v>
      </c>
    </row>
    <row r="18" spans="1:3" ht="43.5" x14ac:dyDescent="0.35">
      <c r="A18" s="57" t="str">
        <v>AutoGPT</v>
      </c>
      <c r="B18" s="51" t="str">
        <v>Agentique</v>
      </c>
      <c r="C18" s="37" t="str">
        <v>Agent IA autonome open source capable de décomposer un objectif en sous-tâches, les exécuter et itérer jusqu'à l'accomplissement. Pionnier du mouvement agentique (2023).</v>
      </c>
    </row>
    <row r="19" spans="1:3" ht="43.5" x14ac:dyDescent="0.35">
      <c r="A19" s="57" t="str">
        <v>Azure OpenAI Service</v>
      </c>
      <c r="B19" s="51" t="str">
        <v>Outil</v>
      </c>
      <c r="C19" s="37" t="str">
        <v>Service cloud Azure donnant accès aux modèles OpenAI (GPT-4, DALL-E, Whisper) avec la sécurité et conformité entreprise Azure. C'est le backend de Microsoft 365 Copilot.</v>
      </c>
    </row>
    <row r="20" spans="1:3" ht="116" x14ac:dyDescent="0.35">
      <c r="A20" s="57" t="str">
        <v>Benchmark (IA)</v>
      </c>
      <c r="B20" s="51" t="str">
        <v>Architecture</v>
      </c>
      <c r="C20" s="37" t="str">
        <v>Ensemble de tests standardisés pour évaluer les performances des modèles IA.
Exemples :
• MMLU : connaissances générales
• HumanEval : code
• GSM8K : mathématiques
• HellaSwag : raisonnement</v>
      </c>
    </row>
    <row r="21" spans="1:3" ht="43.5" x14ac:dyDescent="0.35">
      <c r="A21" s="57" t="str">
        <v>Biais (IA)</v>
      </c>
      <c r="B21" s="51" t="str">
        <v>Sécurité</v>
      </c>
      <c r="C21" s="37" t="str">
        <v>Tendance d'un modèle IA à produire des résultats systématiquement faussés en raison de biais dans les données d'entraînement ou la conception. Peut perpétuer des stéréotypes ou discriminations.</v>
      </c>
    </row>
    <row r="22" spans="1:3" ht="58" x14ac:dyDescent="0.35">
      <c r="A22" s="57" t="str">
        <v>Chain of Thought (CoT)</v>
      </c>
      <c r="B22" s="51" t="str">
        <v>Pattern</v>
      </c>
      <c r="C22" s="37" t="str">
        <v>Technique de prompting qui encourage le modèle à expliciter son raisonnement étape par étape avant de donner une réponse finale. Améliore la précision sur les problèmes complexes. Exemple : "Réfléchis étape par étape..."</v>
      </c>
    </row>
    <row r="23" spans="1:3" x14ac:dyDescent="0.35">
      <c r="A23" s="57" t="str">
        <v>Chunking</v>
      </c>
      <c r="B23" s="51" t="str">
        <v>Données</v>
      </c>
      <c r="C23" s="37" t="str">
        <v>Découpage des documents pour le RAG.</v>
      </c>
    </row>
    <row r="24" spans="1:3" ht="43.5" x14ac:dyDescent="0.35">
      <c r="A24" s="57" t="str">
        <v>Claude for Work</v>
      </c>
      <c r="B24" s="51" t="str">
        <v>Outil</v>
      </c>
      <c r="C24" s="37" t="str">
        <v>Offre entreprise d'Anthropic intégrant Claude dans les outils de travail. Équivalent de M365 Copilot côté Anthropic. Permet à l'IA d'accéder aux documents et données de l'organisation.</v>
      </c>
    </row>
    <row r="25" spans="1:3" ht="29" x14ac:dyDescent="0.35">
      <c r="A25" s="57" t="str">
        <v>Coach</v>
      </c>
      <c r="B25" s="51" t="str">
        <v>Copilot</v>
      </c>
      <c r="C25" s="37" t="str">
        <v>Entraineur de présentation intégré dans PowerPoint. Se rendre dans Diaporama et sélectionner Répéter avec Coach.</v>
      </c>
    </row>
    <row r="26" spans="1:3" ht="43.5" x14ac:dyDescent="0.35">
      <c r="A26" s="57" t="str">
        <v>Connectors</v>
      </c>
      <c r="B26" s="51" t="str">
        <v>Copilot</v>
      </c>
      <c r="C26" s="37" t="str">
        <v>Composants qui permettent à Copilot/Power Platform de se connecter à des sources de données externes (SharePoint, Salesforce, APIs...). Plus de 1000 connecteurs disponibles dans l'écosystème Microsoft.</v>
      </c>
    </row>
    <row r="27" spans="1:3" ht="58" x14ac:dyDescent="0.35">
      <c r="A27" s="57" t="str">
        <v>Context Window</v>
      </c>
      <c r="B27" s="51" t="str">
        <v>Modèle</v>
      </c>
      <c r="C27" s="37" t="str">
        <v>Nombre maximum de tokens qu'un LLM peut traiter en une seule requête (prompt + réponse). Exemples : GPT-4 = 128K tokens, Claude = 200K tokens. Limite la quantité d'informations que le modèle peut "voir" simultanément.</v>
      </c>
    </row>
    <row r="28" spans="1:3" x14ac:dyDescent="0.35">
      <c r="A28" s="57" t="str">
        <v>Contexte</v>
      </c>
      <c r="B28" s="51" t="str">
        <v>Généralité</v>
      </c>
      <c r="C28" s="37" t="str">
        <v>Informations fournies au modèle.</v>
      </c>
    </row>
    <row r="29" spans="1:3" x14ac:dyDescent="0.35">
      <c r="A29" s="57" t="str">
        <v>Copilot</v>
      </c>
      <c r="B29" s="51" t="str">
        <v>Copilot</v>
      </c>
      <c r="C29" s="37" t="str">
        <v>Assistant IA Microsoft.</v>
      </c>
    </row>
    <row r="30" spans="1:3" ht="43.5" x14ac:dyDescent="0.35">
      <c r="A30" s="57" t="str">
        <v>Copilot Actions</v>
      </c>
      <c r="B30" s="51" t="str">
        <v>Copilot</v>
      </c>
      <c r="C30" s="37" t="str">
        <v>Automatisations créées et déclenchées par Copilot pour exécuter des tâches répétitives. Permettent de transformer des instructions en langage naturel en workflows automatisés.</v>
      </c>
    </row>
    <row r="31" spans="1:3" ht="43.5" x14ac:dyDescent="0.35">
      <c r="A31" s="57" t="str">
        <v>Copilot Chat</v>
      </c>
      <c r="B31" s="51" t="str">
        <v>Copilot</v>
      </c>
      <c r="C31" s="37" t="str">
        <v>Interface de chat IA gratuite de Microsoft accessible via copilot.microsoft.com ou Bing. Permet de dialoguer avec l'IA sans licence M365 Copilot. Fonctionnalités limitées par rapport à M365 Copilot.</v>
      </c>
    </row>
    <row r="32" spans="1:3" ht="43.5" x14ac:dyDescent="0.35">
      <c r="A32" s="57" t="str">
        <v>Copilot Lab</v>
      </c>
      <c r="B32" s="51" t="str">
        <v>Copilot</v>
      </c>
      <c r="C32" s="37" t="str">
        <v>Espace d'apprentissage et d'expérimentation pour maîtriser Copilot. Propose des prompts recommandés, des conseils et permet de sauvegarder ses prompts favoris.</v>
      </c>
    </row>
    <row r="33" spans="1:3" ht="43.5" x14ac:dyDescent="0.35">
      <c r="A33" s="57" t="str">
        <v>Copilot Pages</v>
      </c>
      <c r="B33" s="51" t="str">
        <v>Copilot</v>
      </c>
      <c r="C33" s="37" t="str">
        <v>Canvas collaboratif alimenté par l'IA dans Microsoft 365. Permet de créer des pages partagées où les utilisateurs peuvent travailler ensemble avec l'assistance de Copilot pour synthétiser, organiser et enrichir le contenu.</v>
      </c>
    </row>
    <row r="34" spans="1:3" ht="43.5" x14ac:dyDescent="0.35">
      <c r="A34" s="57" t="str">
        <v>Copilot Studio</v>
      </c>
      <c r="B34" s="51" t="str">
        <v>Copilot</v>
      </c>
      <c r="C34" s="37" t="str">
        <v>Plateforme low-code de Microsoft pour créer, personnaliser et déployer des agents Copilot. Permet de connecter des sources de données, définir des actions et orchestrer des workflows sans coder.</v>
      </c>
    </row>
    <row r="35" spans="1:3" ht="43.5" x14ac:dyDescent="0.35">
      <c r="A35" s="57" t="str">
        <v>CrewAI</v>
      </c>
      <c r="B35" s="51" t="str">
        <v>Agentique</v>
      </c>
      <c r="C35" s="37" t="str">
        <v>Framework Python pour créer des équipes d'agents IA collaboratifs. Chaque agent a un rôle, des compétences et peut déléguer des tâches à d'autres agents.</v>
      </c>
    </row>
    <row r="36" spans="1:3" ht="43.5" x14ac:dyDescent="0.35">
      <c r="A36" s="57" t="str">
        <v>Cypher</v>
      </c>
      <c r="B36" s="51" t="str">
        <v>Données</v>
      </c>
      <c r="C36" s="37" t="str">
        <v>Langage de requête pour les bases de données graphes (Neo4j). Permet d'interroger et manipuler des graphes de connaissances de manière intuitive avec une syntaxe visuelle.</v>
      </c>
    </row>
    <row r="37" spans="1:3" ht="43.5" x14ac:dyDescent="0.35">
      <c r="A37" s="57" t="str">
        <v>Data Lakehouse</v>
      </c>
      <c r="B37" s="51" t="str">
        <v>Données</v>
      </c>
      <c r="C37" s="37" t="str">
        <v>Architecture de données combinant les avantages du Data Lake (stockage brut, flexible) et du Data Warehouse (structure, performance). Exemples : Databricks, Microsoft Fabric.</v>
      </c>
    </row>
    <row r="38" spans="1:3" ht="43.5" x14ac:dyDescent="0.35">
      <c r="A38" s="57" t="str">
        <v>Data Loss Prevention (DLP)</v>
      </c>
      <c r="B38" s="51" t="str">
        <v>Sécurité</v>
      </c>
      <c r="C38" s="37" t="str">
        <v>Ensemble de politiques et outils pour empêcher la fuite de données sensibles. Dans le contexte Copilot, le DLP contrôle quelles informations peuvent être partagées avec l'IA.</v>
      </c>
    </row>
    <row r="39" spans="1:3" ht="43.5" x14ac:dyDescent="0.35">
      <c r="A39" s="57" t="str">
        <v>Dataverse</v>
      </c>
      <c r="B39" s="51" t="str">
        <v>Copilot</v>
      </c>
      <c r="C39" s="37" t="str">
        <v>Base de données métier de la Power Platform.
La certification AI Agent Builder demande une connaissance de Dataverse.</v>
      </c>
    </row>
    <row r="40" spans="1:3" ht="43.5" x14ac:dyDescent="0.35">
      <c r="A40" s="57" t="str">
        <v>Declarative Agent</v>
      </c>
      <c r="B40" s="51" t="str">
        <v>Copilot</v>
      </c>
      <c r="C40" s="37" t="str">
        <v>Type d'agent Copilot Studio défini par configuration (déclaratif) plutôt que par code. On déclare ce que l'agent doit faire (sources, instructions, actions) sans programmer la logique.</v>
      </c>
    </row>
    <row r="41" spans="1:3" ht="43.5" x14ac:dyDescent="0.35">
      <c r="A41" s="57" t="str">
        <v>Diffusion Model</v>
      </c>
      <c r="B41" s="51" t="str">
        <v>Modèle</v>
      </c>
      <c r="C41" s="37" t="str">
        <v>Architecture utilisée pour la génération d'images (DALL-E, Stable Diffusion, Imagen). Apprend à reconstruire des images à partir de bruit, puis inverse le processus pour générer de nouvelles images.</v>
      </c>
    </row>
    <row r="42" spans="1:3" ht="43.5" x14ac:dyDescent="0.35">
      <c r="A42" s="57" t="str">
        <v>Draft with Selection</v>
      </c>
      <c r="B42" s="51" t="str">
        <v>Copilot</v>
      </c>
      <c r="C42" s="37" t="str">
        <v>Nouvelle fonctionnalité dans Word. Sert à générer ou développer du contenu à partir d'une sélection, par exemple convertir une liste à puces en un paragraphe rédigé et structuré.</v>
      </c>
    </row>
    <row r="43" spans="1:3" x14ac:dyDescent="0.35">
      <c r="A43" s="57" t="str">
        <v>Embedding</v>
      </c>
      <c r="B43" s="51" t="str">
        <v>Données</v>
      </c>
      <c r="C43" s="37" t="str">
        <v>Représentation mathématique d'un texte.</v>
      </c>
    </row>
    <row r="44" spans="1:3" ht="43.5" x14ac:dyDescent="0.35">
      <c r="A44" s="57" t="str">
        <v>Entra ID</v>
      </c>
      <c r="B44" s="51" t="str">
        <v>Sécurité</v>
      </c>
      <c r="C44" s="37" t="str">
        <v>Nouveau nom d'Azure Active Directory. Service d'identité et d'accès de Microsoft. Gère l'authentification, les permissions et la sécurité des accès aux ressources cloud et Copilot.</v>
      </c>
    </row>
    <row r="45" spans="1:3" ht="29" x14ac:dyDescent="0.35">
      <c r="A45" s="57" t="str">
        <v>Explain</v>
      </c>
      <c r="B45" s="51" t="str">
        <v>Copilot</v>
      </c>
      <c r="C45" s="37" t="str">
        <v>Fonction expliquer dans PowerPoint. Il suffit de faire un clique droit sur les objets pour comprendre le sens et travailler sa naration.</v>
      </c>
    </row>
    <row r="46" spans="1:3" ht="43.5" x14ac:dyDescent="0.35">
      <c r="A46" s="57" t="str">
        <v>Explainability / XAI</v>
      </c>
      <c r="B46" s="51" t="str">
        <v>Sécurité</v>
      </c>
      <c r="C46" s="37" t="str">
        <v>IA Explicable. Capacité à comprendre et expliquer comment un modèle IA arrive à ses décisions. Essentiel pour la confiance, l'audit et la conformité réglementaire (EU AI Act).</v>
      </c>
    </row>
    <row r="47" spans="1:3" ht="58" x14ac:dyDescent="0.35">
      <c r="A47" s="57" t="str">
        <v>Few-shot Learning</v>
      </c>
      <c r="B47" s="51" t="str">
        <v>Prompting</v>
      </c>
      <c r="C47" s="37" t="str">
        <v>Technique de prompting où l'on fournit quelques exemples (2-5) dans le prompt pour guider le modèle sur le format ou le style de réponse attendu. Exemple : donner 3 exemples de classification avant de demander une nouvelle classification.</v>
      </c>
    </row>
    <row r="48" spans="1:3" ht="43.5" x14ac:dyDescent="0.35">
      <c r="A48" s="57" t="str">
        <v>Fine-tuning</v>
      </c>
      <c r="B48" s="51" t="str">
        <v>Modèle</v>
      </c>
      <c r="C48" s="37" t="str">
        <v>Processus d'entraînement supplémentaire d'un modèle pré-entraîné sur des données spécifiques pour l'adapter à une tâche ou un domaine particulier. Permet de personnaliser les réponses du modèle.</v>
      </c>
    </row>
    <row r="49" spans="1:3" ht="43.5" x14ac:dyDescent="0.35">
      <c r="A49" s="57" t="str">
        <v>Foundation Model</v>
      </c>
      <c r="B49" s="51" t="str">
        <v>Type de modèle IA</v>
      </c>
      <c r="C49" s="37" t="str">
        <v>Modèle IA de grande taille pré-entraîné sur des données massives, servant de base pour diverses applications. Exemples : GPT-4, Claude, Llama. Peut être adapté via fine-tuning ou prompting.</v>
      </c>
    </row>
    <row r="50" spans="1:3" ht="43.5" x14ac:dyDescent="0.35">
      <c r="A50" s="57" t="str">
        <v>Frontier (agents)</v>
      </c>
      <c r="B50" s="51" t="str">
        <v>Copilot</v>
      </c>
      <c r="C50" s="37" t="str">
        <v>Catégorie d'agents Copilot en preview ou accès anticipé. Fonctionnalités avancées nécessitant souvent des licences spécifiques (Dynamics 365, Copilot Studio). Peuvent évoluer avant la disponibilité générale.</v>
      </c>
    </row>
    <row r="51" spans="1:3" ht="43.5" x14ac:dyDescent="0.35">
      <c r="A51" s="57" t="str">
        <v>Function Calling</v>
      </c>
      <c r="B51" s="51" t="str">
        <v>Agentique</v>
      </c>
      <c r="C51" s="37" t="str">
        <v>Capacité d'un LLM à générer des appels de fonction structurés (JSON) plutôt que du texte. Permet au modèle d'interagir avec des APIs et outils externes de manière fiable.</v>
      </c>
    </row>
    <row r="52" spans="1:3" ht="409.5" x14ac:dyDescent="0.35">
      <c r="A52" s="57" t="str">
        <v>Générations d'IA</v>
      </c>
      <c r="B52" s="51" t="str">
        <v>Généralité</v>
      </c>
      <c r="C52" s="37" t="str">
        <v>Évolution historique des modèles d'intelligence artificielle :
🔹 1re génération – IA symbolique (années 1950-1980)
Systèmes basés sur des règles logiques et la manipulation de symboles.
Exemples : ELIZA, systèmes experts (MYCIN, DENDRAL)
🔹 2e génération – Machine Learning (années 1990-2010)
Apprentissage à partir de données avec algorithmes statistiques.
Exemples : SVM, Random Forest, réseaux de neurones classiques, IBM Watson (Jeopardy)
🔹 3e génération – Deep Learning (années 2012-2020)
Réseaux de neurones profonds, architectures Transformer (2017).
Exemples : BERT, GPT-2, GPT-3, AlphaGo, reconnaissance d'images (ResNet)
🔹 4e génération – IA Générative (2022-2024)
Modèles de langage massifs, multimodaux, assistants conversationnels.
Exemples : GPT-4, Claude 3, Gemini, DALL-E 3, Midjourney, Copilot, Phi-3/4 (SLM)
🔹 5e génération – IA Agentique &amp; Raisonnement (2024-2025)
Modèles capables de raisonner, planifier et agir de manière autonome.
Exemples : OpenAI o1/o3, Gemini 2.0 Flash Thinking, agents Copilot Studio, Operator (OpenAI)
🔹 6e génération – AGI / IA Générale (à venir)
Intelligence artificielle capable d'égaler ou surpasser l'intelligence humaine sur toutes les tâches cognitives. Autonomie complète, apprentissage continu, transfert de connaissances entre domaines.
Exemples attendus : GPT-5 (?), Project Stargate, initiatives DeepMind, recherches Anthropic sur l'alignement</v>
      </c>
    </row>
    <row r="53" spans="1:3" ht="58" x14ac:dyDescent="0.35">
      <c r="A53" s="57" t="str">
        <v>Grounding</v>
      </c>
      <c r="B53" s="51" t="str">
        <v>Architecture</v>
      </c>
      <c r="C53" s="37" t="str">
        <v>Ancrage dans une source fiable.
Les agents Microsoft peuvent s'appuyer sur des connaissances d'entreprise pour répondre à partir des données du tenant.</v>
      </c>
    </row>
    <row r="54" spans="1:3" ht="58" x14ac:dyDescent="0.35">
      <c r="A54" s="57" t="str">
        <v>Guardrails</v>
      </c>
      <c r="B54" s="51" t="str">
        <v>Sécurité</v>
      </c>
      <c r="C54" s="37" t="str">
        <v>Mécanismes de sécurité intégrés aux systèmes IA pour prévenir les comportements indésirables : filtrage de contenu, détection de jailbreak, limites d'actions. Amazon Bedrock Guardrails, Llama Guard en sont des exemples.</v>
      </c>
    </row>
    <row r="55" spans="1:3" x14ac:dyDescent="0.35">
      <c r="A55" s="57" t="str">
        <v>Hallucination</v>
      </c>
      <c r="B55" s="51" t="str">
        <v>Généralité</v>
      </c>
      <c r="C55" s="37" t="str">
        <v>Réponse d'une IA plausible mais fausse.</v>
      </c>
    </row>
    <row r="56" spans="1:3" ht="43.5" x14ac:dyDescent="0.35">
      <c r="A56" s="57" t="str">
        <v>Hugging Face</v>
      </c>
      <c r="B56" s="51" t="str">
        <v>Outil</v>
      </c>
      <c r="C56" s="37" t="str">
        <v>Plateforme communautaire pour le partage de modèles IA, datasets et applications. Hub central de l'écosystème open source ML. Propose aussi des outils (Transformers, Datasets, Spaces).</v>
      </c>
    </row>
    <row r="57" spans="1:3" ht="87" x14ac:dyDescent="0.35">
      <c r="A57" s="57" t="str">
        <v>IA Générative</v>
      </c>
      <c r="B57" s="51" t="str">
        <v>Généralité</v>
      </c>
      <c r="C57" s="37" t="str">
        <v>IA capable de produire :
texte
image
audio
vidéo
LLM</v>
      </c>
    </row>
    <row r="58" spans="1:3" ht="101.5" x14ac:dyDescent="0.35">
      <c r="A58" s="57" t="str">
        <v>Indexing (IA)</v>
      </c>
      <c r="B58" s="51" t="str">
        <v>Données</v>
      </c>
      <c r="C58" s="37" t="str">
        <v>Processus de préparation des documents pour la recherche :
1. Chunking (découpage)
2. Embedding (vectorisation)
3. Stockage dans une base vectorielle
Étape essentielle du RAG.</v>
      </c>
    </row>
    <row r="59" spans="1:3" ht="43.5" x14ac:dyDescent="0.35">
      <c r="A59" s="57" t="str">
        <v>Inference</v>
      </c>
      <c r="B59" s="51" t="str">
        <v>Modèle</v>
      </c>
      <c r="C59" s="37" t="str">
        <v>Processus d'exécution d'un modèle entraîné pour générer des prédictions ou des réponses à partir de nouvelles entrées. C'est le moment où le modèle "travaille" pour répondre à une requête.</v>
      </c>
    </row>
    <row r="60" spans="1:3" x14ac:dyDescent="0.35">
      <c r="A60" s="57" t="str">
        <v>Instructions personnalisées</v>
      </c>
      <c r="B60" s="51" t="str">
        <v>Prompting</v>
      </c>
      <c r="C60" s="37" t="str">
        <v>Il s'agit d'instruction permanentes sur vous-même ou le contexte.</v>
      </c>
    </row>
    <row r="61" spans="1:3" ht="43.5" x14ac:dyDescent="0.35">
      <c r="A61" s="57" t="str">
        <v>Jailbreak</v>
      </c>
      <c r="B61" s="51" t="str">
        <v>Sécurité</v>
      </c>
      <c r="C61" s="37" t="str">
        <v>Technique visant à contourner les guardrails et restrictions d'un modèle IA pour obtenir des réponses normalement interdites. Les fournisseurs renforcent continuellement leurs protections contre ces attaques.</v>
      </c>
    </row>
    <row r="62" spans="1:3" ht="43.5" x14ac:dyDescent="0.35">
      <c r="A62" s="57" t="str">
        <v>Knowledge Graph</v>
      </c>
      <c r="B62" s="51" t="str">
        <v>Données</v>
      </c>
      <c r="C62" s="37" t="str">
        <v>Graphe de connaissances représentant les entités (personnes, concepts, objets) et leurs relations. Utilisé pour enrichir le contexte des agents IA et améliorer le RAG. Microsoft Graph en est un exemple.</v>
      </c>
    </row>
    <row r="63" spans="1:3" ht="130.5" x14ac:dyDescent="0.35">
      <c r="A63" s="57" t="str">
        <v>LangChain</v>
      </c>
      <c r="B63" s="51" t="str">
        <v>Outil</v>
      </c>
      <c r="C63" s="37" t="str">
        <v>Framework permettant de connecter :
LLM ;
outils ;
données ;
workflows.
Les supports internes Atos présentent LangChain comme l'une des briques fondamentales de l'écosystème agentique.</v>
      </c>
    </row>
    <row r="64" spans="1:3" ht="43.5" x14ac:dyDescent="0.35">
      <c r="A64" s="57" t="str">
        <v>LangGraph</v>
      </c>
      <c r="B64" s="51" t="str">
        <v>Outil</v>
      </c>
      <c r="C64" s="37" t="str">
        <v>Framework d'orchestration multi-agents. Atos le présente comme une extension permettant de créer des applications multi-acteurs et des runtimes agentiques sophistiqués.</v>
      </c>
    </row>
    <row r="65" spans="1:3" ht="145" x14ac:dyDescent="0.35">
      <c r="A65" s="57" t="str">
        <v>Large Language Model (LLM) – 3e/4e génération</v>
      </c>
      <c r="B65" s="51" t="str">
        <v>Type de modèle IA</v>
      </c>
      <c r="C65" s="37" t="str">
        <v>Large Language Model (Grand modèle de langage). Modèle d'IA entraîné sur de vastes corpus de textes pour comprendre et générer du langage naturel.
Exemples :
• OpenAI : GPT-4, GPT-4o, o1, o3
• Anthropic : Claude 3.5 Sonnet, Claude 3 Opus
• Google : Gemini Pro, Gemini Ultra
• Meta : Llama 3, Llama 3.1
• Mistral AI : Mistral Large, Mixtral
• Microsoft : Phi-3, Phi-4</v>
      </c>
    </row>
    <row r="66" spans="1:3" ht="43.5" x14ac:dyDescent="0.35">
      <c r="A66" s="57" t="str">
        <v>Latent Space</v>
      </c>
      <c r="B66" s="51" t="str">
        <v>Architecture</v>
      </c>
      <c r="C66" s="37" t="str">
        <v>Espace vectoriel de haute dimension où les modèles IA représentent les concepts. Les embeddings vivent dans cet espace. Les concepts similaires sont proches dans l'espace latent.</v>
      </c>
    </row>
    <row r="67" spans="1:3" ht="43.5" x14ac:dyDescent="0.35">
      <c r="A67" s="57" t="str">
        <v>Loop</v>
      </c>
      <c r="B67" s="51" t="str">
        <v>Copilot</v>
      </c>
      <c r="C67" s="37" t="str">
        <v>Application Microsoft de collaboration en temps réel. Les composants Loop sont des blocs de contenu portables et synchronisés entre les apps M365, avec Copilot intégré pour la co-création.</v>
      </c>
    </row>
    <row r="68" spans="1:3" ht="43.5" x14ac:dyDescent="0.35">
      <c r="A68" s="57" t="str">
        <v>LoRA / QLoRA</v>
      </c>
      <c r="B68" s="51" t="str">
        <v>Architecture</v>
      </c>
      <c r="C68" s="37" t="str">
        <v>Low-Rank Adaptation. Technique de fine-tuning efficace qui n'entraîne qu'une petite partie des paramètres du modèle. QLoRA combine LoRA avec la quantization pour réduire encore les ressources nécessaires.</v>
      </c>
    </row>
    <row r="69" spans="1:3" ht="87" x14ac:dyDescent="0.35">
      <c r="A69" s="57" t="str">
        <v>MCP</v>
      </c>
      <c r="B69" s="51" t="str">
        <v>Agentique</v>
      </c>
      <c r="C69" s="37" t="str">
        <v>Model Context Protocol.
Standard permettant aux modèles IA d'accéder à des outils et sources externes.
La certification Microsoft le cite explicitement parmi les notions attendues.</v>
      </c>
    </row>
    <row r="70" spans="1:3" ht="87" x14ac:dyDescent="0.35">
      <c r="A70" s="57" t="str">
        <v>Memory (agents)</v>
      </c>
      <c r="B70" s="51" t="str">
        <v>Agentique</v>
      </c>
      <c r="C70" s="37" t="str">
        <v>Système permettant aux agents de conserver des informations entre les interactions.
• Mémoire court terme : contexte de la conversation
• Mémoire long terme : faits persistants
• Mémoire épisodique : expériences passées</v>
      </c>
    </row>
    <row r="71" spans="1:3" ht="43.5" x14ac:dyDescent="0.35">
      <c r="A71" s="57" t="str">
        <v>Microsoft 365 Copilot</v>
      </c>
      <c r="B71" s="51" t="str">
        <v>Copilot</v>
      </c>
      <c r="C71" s="37" t="str">
        <v>Assistant IA intégré aux applications Microsoft 365 (Word, Excel, PowerPoint, Outlook, Teams). Nécessite une licence spécifique. Accède aux données de l'organisation via Microsoft Graph.</v>
      </c>
    </row>
    <row r="72" spans="1:3" ht="43.5" x14ac:dyDescent="0.35">
      <c r="A72" s="57" t="str">
        <v>Microsoft Graph</v>
      </c>
      <c r="B72" s="51" t="str">
        <v>Copilot</v>
      </c>
      <c r="C72" s="37" t="str">
        <v>API unifiée de Microsoft donnant accès aux données M365 : emails, calendriers, fichiers, contacts, Teams... C'est la source principale de contexte pour M365 Copilot.</v>
      </c>
    </row>
    <row r="73" spans="1:3" ht="43.5" x14ac:dyDescent="0.35">
      <c r="A73" s="57" t="str">
        <v>Microsoft Places</v>
      </c>
      <c r="B73" s="51" t="str">
        <v>Copilot</v>
      </c>
      <c r="C73" s="37" t="str">
        <v>Application M365 pour optimiser le travail hybride. Utilise l'IA pour coordonner la présence au bureau, les réservations d'espaces et la collaboration en présentiel.</v>
      </c>
    </row>
    <row r="74" spans="1:3" ht="116" x14ac:dyDescent="0.35">
      <c r="A74" s="57" t="str">
        <v>Modèle de raisonnement – 5e génération</v>
      </c>
      <c r="B74" s="51" t="str">
        <v>Type de modèle IA</v>
      </c>
      <c r="C74" s="37" t="str">
        <v>Modèles optimisés pour le raisonnement complexe et la résolution de problèmes.
Exemples :
• OpenAI o1, o3
• Google Gemini 2.0 Flash Thinking
Utilisent des techniques de "thinking" avant de répondre.</v>
      </c>
    </row>
    <row r="75" spans="1:3" ht="130.5" x14ac:dyDescent="0.35">
      <c r="A75" s="57" t="str">
        <v>Modèle multimodal – 4e génération</v>
      </c>
      <c r="B75" s="51" t="str">
        <v>Type de modèle IA</v>
      </c>
      <c r="C75" s="37" t="str">
        <v>Modèle capable de traiter plusieurs types de données : texte, image, audio, vidéo.
Exemples :
• GPT-4o (texte + image + audio)
• Gemini (texte + image + vidéo)
• Claude 3 (texte + image)
Permet des interactions plus riches et naturelles.</v>
      </c>
    </row>
    <row r="76" spans="1:3" ht="130.5" x14ac:dyDescent="0.35">
      <c r="A76" s="57" t="str">
        <v>Multi-Agent</v>
      </c>
      <c r="B76" s="51" t="str">
        <v>Agentique</v>
      </c>
      <c r="C76" s="37" t="str">
        <v>Plusieurs agents spécialisés travaillent ensemble.
Exemple :
Agent RH
↓
Agent Finance
↓
Agent Reporting</v>
      </c>
    </row>
    <row r="77" spans="1:3" ht="58" x14ac:dyDescent="0.35">
      <c r="A77" s="57" t="str">
        <v>N8N</v>
      </c>
      <c r="B77" s="51" t="str">
        <v>Outil</v>
      </c>
      <c r="C77" s="37" t="str">
        <v>Plateforme d'automatisation open source avec capacités IA. Alternative à Power Automate/Zapier. Permet de créer des workflows connectant applications et modèles IA. Populaire pour sa flexibilité et son auto-hébergement.</v>
      </c>
    </row>
    <row r="78" spans="1:3" ht="43.5" x14ac:dyDescent="0.35">
      <c r="A78" s="57" t="str">
        <v>Ontologie</v>
      </c>
      <c r="B78" s="51" t="str">
        <v>Données</v>
      </c>
      <c r="C78" s="37" t="str">
        <v>Modèle formel définissant les concepts d'un domaine et leurs relations. Fournit un schéma structuré pour organiser les connaissances. Utilisée avec les Knowledge Graphs pour le raisonnement IA.</v>
      </c>
    </row>
    <row r="79" spans="1:3" ht="43.5" x14ac:dyDescent="0.35">
      <c r="A79" s="57" t="str">
        <v>OpenAI</v>
      </c>
      <c r="B79" s="51" t="str">
        <v>Généralité</v>
      </c>
      <c r="C79" s="37" t="str">
        <v>Entreprise d'IA créatrice de GPT, DALL-E, Whisper et ChatGPT. Partenaire stratégique de Microsoft. Pionnière de l'IA générative grand public et des modèles de raisonnement (o1, o3).</v>
      </c>
    </row>
    <row r="80" spans="1:3" ht="58" x14ac:dyDescent="0.35">
      <c r="A80" s="57" t="str">
        <v>Operator (OpenAI)</v>
      </c>
      <c r="B80" s="51" t="str">
        <v>Agentique</v>
      </c>
      <c r="C80" s="37" t="str">
        <v>Agent IA d'OpenAI capable de naviguer sur le web, cliquer, remplir des formulaires et exécuter des tâches dans un navigateur. Représente l'évolution vers des agents autonomes capables d'agir dans le monde numérique.</v>
      </c>
    </row>
    <row r="81" spans="1:3" ht="116" x14ac:dyDescent="0.35">
      <c r="A81" s="57" t="str">
        <v>Orchestration</v>
      </c>
      <c r="B81" s="51" t="str">
        <v>Agentique</v>
      </c>
      <c r="C81" s="37" t="str">
        <v>Coordination :
agents
outils
workflows
L'Agent Academy Microsoft cite explicitement l'orchestration comme un concept à comprendre pour construire des agents.</v>
      </c>
    </row>
    <row r="82" spans="1:3" ht="43.5" x14ac:dyDescent="0.35">
      <c r="A82" s="57" t="str">
        <v>Perplexity (métrique)</v>
      </c>
      <c r="B82" s="51" t="str">
        <v>Architecture</v>
      </c>
      <c r="C82" s="37" t="str">
        <v>Métrique mesurant la qualité d'un modèle de langage. Plus la perplexité est basse, meilleur est le modèle. Indique à quel point le modèle est "surpris" par le texte qu'il prédit.</v>
      </c>
    </row>
    <row r="83" spans="1:3" ht="43.5" x14ac:dyDescent="0.35">
      <c r="A83" s="57" t="str">
        <v>Planning (IA)</v>
      </c>
      <c r="B83" s="51" t="str">
        <v>Agentique</v>
      </c>
      <c r="C83" s="37" t="str">
        <v>Capacité d'un agent IA à décomposer un objectif complexe en étapes, établir un plan d'action et l'adapter en fonction des résultats. Composant clé de l'IA agentique.</v>
      </c>
    </row>
    <row r="84" spans="1:3" ht="43.5" x14ac:dyDescent="0.35">
      <c r="A84" s="57" t="str">
        <v>Plugins (Copilot)</v>
      </c>
      <c r="B84" s="51" t="str">
        <v>Copilot</v>
      </c>
      <c r="C84" s="37" t="str">
        <v>Extensions qui ajoutent des capacités à Copilot. Peuvent être des actions (envoyer un email, créer une tâche) ou des sources de connaissances. Développés via Copilot Studio ou code.</v>
      </c>
    </row>
    <row r="85" spans="1:3" x14ac:dyDescent="0.35">
      <c r="A85" s="57" t="str">
        <v>Power Automate</v>
      </c>
      <c r="B85" s="51" t="str">
        <v>Copilot</v>
      </c>
      <c r="C85" s="37" t="str">
        <v>Automatisation des processus.</v>
      </c>
    </row>
    <row r="86" spans="1:3" ht="333.5" x14ac:dyDescent="0.35">
      <c r="A86" s="57" t="str">
        <v>Prompt</v>
      </c>
      <c r="B86" s="51" t="str">
        <v>Prompting</v>
      </c>
      <c r="C86" s="37" t="str">
        <v>Pour réaliser un bon prompt, vous avez besoin, d'un contexte, d'un objectif, d'identifier la source et de définir les attentes.
Fournir un contexte : pourquoi en avez-vous besoin et qui est impliqué ? Décrivez la situation, que vous soyez en train de préparer une réunion cliente, d’analyser un rapport trimestriel ou de créer une présentation de la direction. Contrairement à la recherche traditionnelle, Copilot répond le mieux aux invites détaillées et descriptives.
Décrire un objectif : Que voulez-vous que Copilot fasse ? Spécifiez la sortie : un résumé, un premier brouillon, une liste d’éléments d’action, une visualisation de données. Si vous avez un format à l’esprit, décrivez-le.
Définir une source : Où doit se trouver Copilot ? Référencez des fichiers, des e-mails, des réunions ou des notes de réunion spécifiques afin que Copilot extrait le contenu approprié. Avec votre licence Microsoft 365 Copilot, vous pouvez référencer vos données professionnelles (e-mails, réunions et fichiers) directement dans vos invites.
Définir les attentes : Comment Copilot doit-il répondre ? Spécifiez l’audience, le ton, la longueur ou la structure. Une réponse pour la haute direction se lit différemment d’une réponse pour une mise à jour de l’équipe de projet.</v>
      </c>
    </row>
    <row r="87" spans="1:3" ht="43.5" x14ac:dyDescent="0.35">
      <c r="A87" s="57" t="str">
        <v>Prompt Engineering</v>
      </c>
      <c r="B87" s="51" t="str">
        <v>Prompting</v>
      </c>
      <c r="C87" s="37" t="str">
        <v>Discipline consistant à concevoir et optimiser les prompts pour obtenir les meilleures réponses des LLM. Inclut la structuration, le contexte, les exemples et les contraintes.</v>
      </c>
    </row>
    <row r="88" spans="1:3" ht="43.5" x14ac:dyDescent="0.35">
      <c r="A88" s="57" t="str">
        <v>Purview</v>
      </c>
      <c r="B88" s="51" t="str">
        <v>Sécurité</v>
      </c>
      <c r="C88" s="37" t="str">
        <v>Suite Microsoft de gouvernance des données et de conformité. Inclut la classification des données, la protection des informations, la gestion des risques et l'audit. Essentiel pour sécuriser l'usage de Copilot.</v>
      </c>
    </row>
    <row r="89" spans="1:3" ht="43.5" x14ac:dyDescent="0.35">
      <c r="A89" s="57" t="str">
        <v>Quantization</v>
      </c>
      <c r="B89" s="51" t="str">
        <v>Architecture</v>
      </c>
      <c r="C89" s="37" t="str">
        <v>Technique de compression des modèles IA en réduisant la précision des poids (ex: float32 → int8). Permet de déployer des modèles sur des appareils à ressources limitées avec une perte de qualité minimale.</v>
      </c>
    </row>
    <row r="90" spans="1:3" ht="130.5" x14ac:dyDescent="0.35">
      <c r="A90" s="57" t="str">
        <v>RAG</v>
      </c>
      <c r="B90" s="51" t="str">
        <v>Architecture</v>
      </c>
      <c r="C90" s="37" t="str">
        <v>Retrieval Augmented Generation.
Question
↓
Recherche documentaire
↓
LLM
↓
Réponse basée sur les documents</v>
      </c>
    </row>
    <row r="91" spans="1:3" ht="43.5" x14ac:dyDescent="0.35">
      <c r="A91" s="57" t="str">
        <v>ReAct</v>
      </c>
      <c r="B91" s="51" t="str">
        <v>Pattern</v>
      </c>
      <c r="C91" s="37" t="str">
        <v>Pattern d'agent IA combinant Reasoning (raisonnement) et Acting (action). L'agent alterne entre réflexion sur la situation et exécution d'actions, puis observe les résultats pour ajuster son approche.</v>
      </c>
    </row>
    <row r="92" spans="1:3" ht="43.5" x14ac:dyDescent="0.35">
      <c r="A92" s="57" t="str">
        <v>Recall</v>
      </c>
      <c r="B92" s="51" t="str">
        <v>Copilot</v>
      </c>
      <c r="C92" s="37" t="str">
        <v>Fonctionnalité Windows/Copilot qui capture des "snapshots" de l'activité de l'écran pour permettre une recherche sémantique dans l'historique. Permet de retrouver ce que vous avez vu/fait sur votre PC.</v>
      </c>
    </row>
    <row r="93" spans="1:3" ht="130.5" x14ac:dyDescent="0.35">
      <c r="A93" s="57" t="str">
        <v>Responsible AI</v>
      </c>
      <c r="B93" s="51" t="str">
        <v>Sécurité</v>
      </c>
      <c r="C93" s="37" t="str">
        <v>Cadre de principes Microsoft pour une IA éthique et responsable.
Piliers :
• Équité
• Fiabilité et sécurité
• Confidentialité
• Inclusivité
• Transparence
• Responsabilité</v>
      </c>
    </row>
    <row r="94" spans="1:3" ht="43.5" x14ac:dyDescent="0.35">
      <c r="A94" s="57" t="str">
        <v>RLHF</v>
      </c>
      <c r="B94" s="51" t="str">
        <v>Modèle</v>
      </c>
      <c r="C94" s="37" t="str">
        <v>Reinforcement Learning from Human Feedback. Technique d'entraînement où des évaluateurs humains notent les réponses du modèle pour l'aligner sur les préférences humaines (utilité, sécurité, honnêteté).</v>
      </c>
    </row>
    <row r="95" spans="1:3" ht="43.5" x14ac:dyDescent="0.35">
      <c r="A95" s="57" t="str">
        <v>Role Prompting</v>
      </c>
      <c r="B95" s="51" t="str">
        <v>Prompting</v>
      </c>
      <c r="C95" s="37" t="str">
        <v>Technique consistant à assigner un rôle ou une persona au modèle ("Tu es un expert en..."). Influence le ton, le niveau de détail et l'expertise des réponses.</v>
      </c>
    </row>
    <row r="96" spans="1:3" ht="43.5" x14ac:dyDescent="0.35">
      <c r="A96" s="57" t="str">
        <v>Self-Consistency</v>
      </c>
      <c r="B96" s="51" t="str">
        <v>Pattern</v>
      </c>
      <c r="C96" s="37" t="str">
        <v>Technique de prompting où l'on génère plusieurs réponses avec raisonnement, puis on sélectionne la réponse la plus fréquente. Améliore la fiabilité sur les problèmes de raisonnement.</v>
      </c>
    </row>
    <row r="97" spans="1:3" ht="58" x14ac:dyDescent="0.35">
      <c r="A97" s="57" t="str">
        <v>Semantic Kernel</v>
      </c>
      <c r="B97" s="51" t="str">
        <v>Outil</v>
      </c>
      <c r="C97" s="37" t="str">
        <v>Framework open source de Microsoft pour intégrer des LLM dans des applications. Il permet d'orchestrer des plugins, des prompts et des connecteurs pour créer des agents IA. C'est le moteur sous-jacent de nombreuses fonctionnalités Copilot.</v>
      </c>
    </row>
    <row r="98" spans="1:3" ht="43.5" x14ac:dyDescent="0.35">
      <c r="A98" s="57" t="str">
        <v>Semantic Search</v>
      </c>
      <c r="B98" s="51" t="str">
        <v>Données</v>
      </c>
      <c r="C98" s="37" t="str">
        <v>Recherche basée sur le sens et l'intention plutôt que sur la correspondance exacte de mots-clés. Utilise les embeddings pour trouver des résultats conceptuellement similaires à la requête.</v>
      </c>
    </row>
    <row r="99" spans="1:3" ht="43.5" x14ac:dyDescent="0.35">
      <c r="A99" s="57" t="str">
        <v>Sensitivity Labels</v>
      </c>
      <c r="B99" s="51" t="str">
        <v>Sécurité</v>
      </c>
      <c r="C99" s="37" t="str">
        <v>Étiquettes de confidentialité Microsoft 365 (Public, Interne, Confidentiel, Très confidentiel). Copilot respecte ces étiquettes et ne peut pas accéder aux contenus au-delà des permissions de l'utilisateur.</v>
      </c>
    </row>
    <row r="100" spans="1:3" ht="43.5" x14ac:dyDescent="0.35">
      <c r="A100" s="57" t="str">
        <v>SharePoint Premium</v>
      </c>
      <c r="B100" s="51" t="str">
        <v>Copilot</v>
      </c>
      <c r="C100" s="37" t="str">
        <v>Ensemble de fonctionnalités IA avancées pour SharePoint (anciennement Syntex). Inclut le traitement intelligent des documents, la classification automatique et l'extraction de métadonnées par IA.</v>
      </c>
    </row>
    <row r="101" spans="1:3" ht="43.5" x14ac:dyDescent="0.35">
      <c r="A101" s="57" t="str">
        <v>Similarity Search</v>
      </c>
      <c r="B101" s="51" t="str">
        <v>Données</v>
      </c>
      <c r="C101" s="37" t="str">
        <v>Recherche de vecteurs (embeddings) similaires dans une base vectorielle. Utilise des métriques de distance (cosine, euclidienne) pour trouver les documents les plus proches sémantiquement.</v>
      </c>
    </row>
    <row r="102" spans="1:3" ht="130.5" x14ac:dyDescent="0.35">
      <c r="A102" s="57" t="str">
        <v>SLM (Small Language Model) – 4e génération</v>
      </c>
      <c r="B102" s="51" t="str">
        <v>Type de modèle IA</v>
      </c>
      <c r="C102" s="37" t="str">
        <v>Modèles de langage plus petits et optimisés pour des tâches spécifiques ou des environnements contraints.
Exemples :
• Microsoft Phi-3/Phi-4
• Google Gemma
• Meta Llama 3.2 (versions légères)
Avantages : rapidité, coût réduit, déploiement local possible.</v>
      </c>
    </row>
    <row r="103" spans="1:3" ht="43.5" x14ac:dyDescent="0.35">
      <c r="A103" s="57" t="str">
        <v>SPARQL</v>
      </c>
      <c r="B103" s="51" t="str">
        <v>Données</v>
      </c>
      <c r="C103" s="37" t="str">
        <v>Langage de requête pour interroger des bases de données RDF et des graphes de connaissances. Équivalent de SQL pour les données liées. Utilisé avec les ontologies et Knowledge Graphs.</v>
      </c>
    </row>
    <row r="104" spans="1:3" ht="43.5" x14ac:dyDescent="0.35">
      <c r="A104" s="57" t="str">
        <v>System Prompt</v>
      </c>
      <c r="B104" s="51" t="str">
        <v>Prompting</v>
      </c>
      <c r="C104" s="37" t="str">
        <v>Instructions initiales données au modèle pour définir son comportement, son rôle, ses contraintes et son style de réponse. Aussi appelé "system message" ou "instructions système". Non visible par l'utilisateur final.</v>
      </c>
    </row>
    <row r="105" spans="1:3" ht="58" x14ac:dyDescent="0.35">
      <c r="A105" s="57" t="str">
        <v>Température</v>
      </c>
      <c r="B105" s="51" t="str">
        <v>Modèle</v>
      </c>
      <c r="C105" s="37" t="str">
        <v>Paramètre déterminant :
créativité
stabilité</v>
      </c>
    </row>
    <row r="106" spans="1:3" x14ac:dyDescent="0.35">
      <c r="A106" s="57" t="str">
        <v>Token</v>
      </c>
      <c r="B106" s="51" t="str">
        <v>Modèle</v>
      </c>
      <c r="C106" s="37" t="str">
        <v>Unité de texte utilisée par le modèle.</v>
      </c>
    </row>
    <row r="107" spans="1:3" ht="43.5" x14ac:dyDescent="0.35">
      <c r="A107" s="57" t="str">
        <v>Tokenization</v>
      </c>
      <c r="B107" s="51" t="str">
        <v>Architecture</v>
      </c>
      <c r="C107" s="37" t="str">
        <v>Processus de découpage d'un texte en tokens (unités de base) pour le traitement par un LLM. Différents tokenizers existent (BPE, WordPiece, SentencePiece). Un mot peut correspondre à 1 ou plusieurs tokens.</v>
      </c>
    </row>
    <row r="108" spans="1:3" ht="72.5" x14ac:dyDescent="0.35">
      <c r="A108" s="57" t="str">
        <v>Tool Calling</v>
      </c>
      <c r="B108" s="51" t="str">
        <v>Agentique</v>
      </c>
      <c r="C108" s="37" t="str">
        <v>Capacité d'un agent à appeler :
API ;
base de données ;
outil métier.</v>
      </c>
    </row>
    <row r="109" spans="1:3" ht="43.5" x14ac:dyDescent="0.35">
      <c r="A109" s="57" t="str">
        <v>Transformer</v>
      </c>
      <c r="B109" s="51" t="str">
        <v>Architecture</v>
      </c>
      <c r="C109" s="37" t="str">
        <v>Architecture de réseau de neurones introduite en 2017 ("Attention is All You Need"). Base de tous les LLM modernes (GPT, Claude, Gemini, Llama). Utilise le mécanisme d'attention pour traiter les séquences en parallèle.</v>
      </c>
    </row>
    <row r="110" spans="1:3" ht="43.5" x14ac:dyDescent="0.35">
      <c r="A110" s="57" t="str">
        <v>Tree of Thought (ToT)</v>
      </c>
      <c r="B110" s="51" t="str">
        <v>Pattern</v>
      </c>
      <c r="C110" s="37" t="str">
        <v>Évolution du Chain of Thought. Le modèle explore plusieurs branches de raisonnement en parallèle, évalue chaque chemin et sélectionne le plus prometteur. Utile pour les problèmes complexes.</v>
      </c>
    </row>
    <row r="111" spans="1:3" x14ac:dyDescent="0.35">
      <c r="A111" s="57" t="str">
        <v>Vector Database</v>
      </c>
      <c r="B111" s="51" t="str">
        <v>Données</v>
      </c>
      <c r="C111" s="37" t="str">
        <v>Base utilisée pour stocker les embeddings.</v>
      </c>
    </row>
    <row r="112" spans="1:3" ht="72.5" x14ac:dyDescent="0.35">
      <c r="A112" s="57" t="str">
        <v>Work IQ</v>
      </c>
      <c r="B112" s="51" t="str">
        <v>Copilot</v>
      </c>
      <c r="C112" s="37" t="str">
        <v>Work IQ est une couche de veille sur l’espace de travail qui permet aux agents d’accéder aux données, au contexte et aux outils de l’organisation et de les raisonner. Il crée en permanence une compréhension sémantique sur Microsoft 365 et les systèmes externes avec une gouvernance intégrée et prenant en charge les autorisations.</v>
      </c>
    </row>
    <row r="113" spans="1:3" ht="43.5" x14ac:dyDescent="0.35">
      <c r="A113" s="57" t="str">
        <v>Zero-shot Learning</v>
      </c>
      <c r="B113" s="51" t="str">
        <v>Prompting</v>
      </c>
      <c r="C113" s="37" t="str">
        <v>Capacité d'un modèle à accomplir une tâche sans aucun exemple préalable, uniquement à partir des instructions. Le modèle généralise à partir de son entraînement initial.</v>
      </c>
    </row>
    <row r="114" spans="1:3" x14ac:dyDescent="0.35">
      <c r="A114" s="32"/>
      <c r="B114" s="32"/>
      <c r="C114" s="32"/>
    </row>
    <row r="115" spans="1:3" x14ac:dyDescent="0.35">
      <c r="A115" s="32"/>
      <c r="B115" s="32"/>
      <c r="C115" s="32"/>
    </row>
    <row r="116" spans="1:3" ht="22" customHeight="1" x14ac:dyDescent="0.35">
      <c r="A116" s="102" t="s">
        <v>688</v>
      </c>
      <c r="B116" s="102"/>
      <c r="C116" s="102"/>
    </row>
    <row r="117" spans="1:3" x14ac:dyDescent="0.35">
      <c r="A117" s="32"/>
      <c r="B117" s="32"/>
      <c r="C117" s="32"/>
    </row>
    <row r="118" spans="1:3" s="2" customFormat="1" x14ac:dyDescent="0.35">
      <c r="A118" s="53" t="s">
        <v>0</v>
      </c>
      <c r="B118" s="53" t="s">
        <v>90</v>
      </c>
      <c r="C118" s="53" t="s">
        <v>1</v>
      </c>
    </row>
    <row r="119" spans="1:3" ht="58" x14ac:dyDescent="0.35">
      <c r="A119" s="33" t="s">
        <v>32</v>
      </c>
      <c r="B119" s="33" t="s">
        <v>12</v>
      </c>
      <c r="C119" s="33" t="s">
        <v>33</v>
      </c>
    </row>
    <row r="120" spans="1:3" ht="101.5" x14ac:dyDescent="0.35">
      <c r="A120" s="33" t="s">
        <v>14</v>
      </c>
      <c r="B120" s="33" t="s">
        <v>285</v>
      </c>
      <c r="C120" s="33" t="s">
        <v>15</v>
      </c>
    </row>
    <row r="121" spans="1:3" ht="29" x14ac:dyDescent="0.35">
      <c r="A121" s="33" t="s">
        <v>44</v>
      </c>
      <c r="B121" s="33" t="s">
        <v>12</v>
      </c>
      <c r="C121" s="33" t="s">
        <v>45</v>
      </c>
    </row>
    <row r="122" spans="1:3" ht="43.5" x14ac:dyDescent="0.35">
      <c r="A122" s="33" t="s">
        <v>40</v>
      </c>
      <c r="B122" s="33" t="s">
        <v>285</v>
      </c>
      <c r="C122" s="33" t="s">
        <v>41</v>
      </c>
    </row>
    <row r="123" spans="1:3" ht="130.5" x14ac:dyDescent="0.35">
      <c r="A123" s="33" t="s">
        <v>34</v>
      </c>
      <c r="B123" s="33" t="s">
        <v>285</v>
      </c>
      <c r="C123" s="33" t="s">
        <v>35</v>
      </c>
    </row>
    <row r="124" spans="1:3" ht="43.5" x14ac:dyDescent="0.35">
      <c r="A124" s="33" t="s">
        <v>259</v>
      </c>
      <c r="B124" s="33" t="s">
        <v>273</v>
      </c>
      <c r="C124" s="33" t="s">
        <v>260</v>
      </c>
    </row>
    <row r="125" spans="1:3" ht="43.5" x14ac:dyDescent="0.35">
      <c r="A125" s="33" t="s">
        <v>87</v>
      </c>
      <c r="B125" s="33" t="s">
        <v>278</v>
      </c>
      <c r="C125" s="33" t="s">
        <v>348</v>
      </c>
    </row>
    <row r="126" spans="1:3" ht="43.5" x14ac:dyDescent="0.35">
      <c r="A126" s="33" t="s">
        <v>314</v>
      </c>
      <c r="B126" s="33" t="s">
        <v>274</v>
      </c>
      <c r="C126" s="33" t="s">
        <v>315</v>
      </c>
    </row>
    <row r="127" spans="1:3" ht="43.5" x14ac:dyDescent="0.35">
      <c r="A127" s="33" t="s">
        <v>222</v>
      </c>
      <c r="B127" s="33" t="s">
        <v>274</v>
      </c>
      <c r="C127" s="33" t="s">
        <v>223</v>
      </c>
    </row>
    <row r="128" spans="1:3" ht="43.5" x14ac:dyDescent="0.35">
      <c r="A128" s="33" t="s">
        <v>80</v>
      </c>
      <c r="B128" s="33" t="s">
        <v>12</v>
      </c>
      <c r="C128" s="33" t="s">
        <v>81</v>
      </c>
    </row>
    <row r="129" spans="1:3" ht="43.5" x14ac:dyDescent="0.35">
      <c r="A129" s="33" t="s">
        <v>304</v>
      </c>
      <c r="B129" s="33" t="s">
        <v>285</v>
      </c>
      <c r="C129" s="33" t="s">
        <v>305</v>
      </c>
    </row>
    <row r="130" spans="1:3" ht="43.5" x14ac:dyDescent="0.35">
      <c r="A130" s="33" t="s">
        <v>346</v>
      </c>
      <c r="B130" s="33" t="s">
        <v>97</v>
      </c>
      <c r="C130" s="33" t="s">
        <v>347</v>
      </c>
    </row>
    <row r="131" spans="1:3" ht="116" x14ac:dyDescent="0.35">
      <c r="A131" s="33" t="s">
        <v>320</v>
      </c>
      <c r="B131" s="33" t="s">
        <v>274</v>
      </c>
      <c r="C131" s="33" t="s">
        <v>321</v>
      </c>
    </row>
    <row r="132" spans="1:3" ht="43.5" x14ac:dyDescent="0.35">
      <c r="A132" s="33" t="s">
        <v>338</v>
      </c>
      <c r="B132" s="33" t="s">
        <v>273</v>
      </c>
      <c r="C132" s="33" t="s">
        <v>339</v>
      </c>
    </row>
    <row r="133" spans="1:3" ht="58" x14ac:dyDescent="0.35">
      <c r="A133" s="33" t="s">
        <v>210</v>
      </c>
      <c r="B133" s="33" t="s">
        <v>283</v>
      </c>
      <c r="C133" s="33" t="s">
        <v>211</v>
      </c>
    </row>
    <row r="134" spans="1:3" x14ac:dyDescent="0.35">
      <c r="A134" s="33" t="s">
        <v>20</v>
      </c>
      <c r="B134" s="33" t="s">
        <v>276</v>
      </c>
      <c r="C134" s="33" t="s">
        <v>21</v>
      </c>
    </row>
    <row r="135" spans="1:3" ht="43.5" x14ac:dyDescent="0.35">
      <c r="A135" s="33" t="s">
        <v>94</v>
      </c>
      <c r="B135" s="33" t="s">
        <v>97</v>
      </c>
      <c r="C135" s="33" t="s">
        <v>247</v>
      </c>
    </row>
    <row r="136" spans="1:3" ht="29" x14ac:dyDescent="0.35">
      <c r="A136" s="33" t="s">
        <v>71</v>
      </c>
      <c r="B136" s="33" t="s">
        <v>12</v>
      </c>
      <c r="C136" s="33" t="s">
        <v>72</v>
      </c>
    </row>
    <row r="137" spans="1:3" ht="43.5" x14ac:dyDescent="0.35">
      <c r="A137" s="33" t="s">
        <v>235</v>
      </c>
      <c r="B137" s="33" t="s">
        <v>12</v>
      </c>
      <c r="C137" s="33" t="s">
        <v>236</v>
      </c>
    </row>
    <row r="138" spans="1:3" ht="58" x14ac:dyDescent="0.35">
      <c r="A138" s="33" t="s">
        <v>214</v>
      </c>
      <c r="B138" s="33" t="s">
        <v>277</v>
      </c>
      <c r="C138" s="33" t="s">
        <v>215</v>
      </c>
    </row>
    <row r="139" spans="1:3" x14ac:dyDescent="0.35">
      <c r="A139" s="33" t="s">
        <v>6</v>
      </c>
      <c r="B139" s="33" t="s">
        <v>278</v>
      </c>
      <c r="C139" s="33" t="s">
        <v>7</v>
      </c>
    </row>
    <row r="140" spans="1:3" x14ac:dyDescent="0.35">
      <c r="A140" s="33" t="s">
        <v>12</v>
      </c>
      <c r="B140" s="33" t="s">
        <v>12</v>
      </c>
      <c r="C140" s="33" t="s">
        <v>13</v>
      </c>
    </row>
    <row r="141" spans="1:3" ht="43.5" x14ac:dyDescent="0.35">
      <c r="A141" s="33" t="s">
        <v>294</v>
      </c>
      <c r="B141" s="33" t="s">
        <v>12</v>
      </c>
      <c r="C141" s="33" t="s">
        <v>295</v>
      </c>
    </row>
    <row r="142" spans="1:3" ht="43.5" x14ac:dyDescent="0.35">
      <c r="A142" s="33" t="s">
        <v>85</v>
      </c>
      <c r="B142" s="33" t="s">
        <v>12</v>
      </c>
      <c r="C142" s="33" t="s">
        <v>227</v>
      </c>
    </row>
    <row r="143" spans="1:3" ht="43.5" x14ac:dyDescent="0.35">
      <c r="A143" s="33" t="s">
        <v>300</v>
      </c>
      <c r="B143" s="33" t="s">
        <v>12</v>
      </c>
      <c r="C143" s="33" t="s">
        <v>301</v>
      </c>
    </row>
    <row r="144" spans="1:3" ht="43.5" x14ac:dyDescent="0.35">
      <c r="A144" s="33" t="s">
        <v>292</v>
      </c>
      <c r="B144" s="33" t="s">
        <v>12</v>
      </c>
      <c r="C144" s="33" t="s">
        <v>293</v>
      </c>
    </row>
    <row r="145" spans="1:3" ht="43.5" x14ac:dyDescent="0.35">
      <c r="A145" s="33" t="s">
        <v>89</v>
      </c>
      <c r="B145" s="33" t="s">
        <v>12</v>
      </c>
      <c r="C145" s="33" t="s">
        <v>226</v>
      </c>
    </row>
    <row r="146" spans="1:3" ht="43.5" x14ac:dyDescent="0.35">
      <c r="A146" s="33" t="s">
        <v>306</v>
      </c>
      <c r="B146" s="33" t="s">
        <v>285</v>
      </c>
      <c r="C146" s="33" t="s">
        <v>307</v>
      </c>
    </row>
    <row r="147" spans="1:3" ht="43.5" x14ac:dyDescent="0.35">
      <c r="A147" s="33" t="s">
        <v>255</v>
      </c>
      <c r="B147" s="33" t="s">
        <v>276</v>
      </c>
      <c r="C147" s="33" t="s">
        <v>256</v>
      </c>
    </row>
    <row r="148" spans="1:3" ht="43.5" x14ac:dyDescent="0.35">
      <c r="A148" s="33" t="s">
        <v>359</v>
      </c>
      <c r="B148" s="33" t="s">
        <v>276</v>
      </c>
      <c r="C148" s="33" t="s">
        <v>360</v>
      </c>
    </row>
    <row r="149" spans="1:3" ht="43.5" x14ac:dyDescent="0.35">
      <c r="A149" s="33" t="s">
        <v>342</v>
      </c>
      <c r="B149" s="33" t="s">
        <v>273</v>
      </c>
      <c r="C149" s="33" t="s">
        <v>343</v>
      </c>
    </row>
    <row r="150" spans="1:3" ht="43.5" x14ac:dyDescent="0.35">
      <c r="A150" s="33" t="s">
        <v>30</v>
      </c>
      <c r="B150" s="33" t="s">
        <v>12</v>
      </c>
      <c r="C150" s="33" t="s">
        <v>31</v>
      </c>
    </row>
    <row r="151" spans="1:3" ht="43.5" x14ac:dyDescent="0.35">
      <c r="A151" s="33" t="s">
        <v>233</v>
      </c>
      <c r="B151" s="33" t="s">
        <v>12</v>
      </c>
      <c r="C151" s="33" t="s">
        <v>234</v>
      </c>
    </row>
    <row r="152" spans="1:3" ht="43.5" x14ac:dyDescent="0.35">
      <c r="A152" s="33" t="s">
        <v>263</v>
      </c>
      <c r="B152" s="33" t="s">
        <v>277</v>
      </c>
      <c r="C152" s="33" t="s">
        <v>264</v>
      </c>
    </row>
    <row r="153" spans="1:3" ht="43.5" x14ac:dyDescent="0.35">
      <c r="A153" s="33" t="s">
        <v>82</v>
      </c>
      <c r="B153" s="33" t="s">
        <v>12</v>
      </c>
      <c r="C153" s="33" t="s">
        <v>83</v>
      </c>
    </row>
    <row r="154" spans="1:3" x14ac:dyDescent="0.35">
      <c r="A154" s="33" t="s">
        <v>22</v>
      </c>
      <c r="B154" s="33" t="s">
        <v>276</v>
      </c>
      <c r="C154" s="33" t="s">
        <v>23</v>
      </c>
    </row>
    <row r="155" spans="1:3" ht="43.5" x14ac:dyDescent="0.35">
      <c r="A155" s="33" t="s">
        <v>243</v>
      </c>
      <c r="B155" s="33" t="s">
        <v>273</v>
      </c>
      <c r="C155" s="33" t="s">
        <v>244</v>
      </c>
    </row>
    <row r="156" spans="1:3" ht="29" x14ac:dyDescent="0.35">
      <c r="A156" s="33" t="s">
        <v>54</v>
      </c>
      <c r="B156" s="33" t="s">
        <v>12</v>
      </c>
      <c r="C156" s="33" t="s">
        <v>55</v>
      </c>
    </row>
    <row r="157" spans="1:3" ht="43.5" x14ac:dyDescent="0.35">
      <c r="A157" s="33" t="s">
        <v>340</v>
      </c>
      <c r="B157" s="33" t="s">
        <v>273</v>
      </c>
      <c r="C157" s="33" t="s">
        <v>341</v>
      </c>
    </row>
    <row r="158" spans="1:3" ht="58" x14ac:dyDescent="0.35">
      <c r="A158" s="33" t="s">
        <v>206</v>
      </c>
      <c r="B158" s="33" t="s">
        <v>275</v>
      </c>
      <c r="C158" s="33" t="s">
        <v>207</v>
      </c>
    </row>
    <row r="159" spans="1:3" ht="43.5" x14ac:dyDescent="0.35">
      <c r="A159" s="33" t="s">
        <v>204</v>
      </c>
      <c r="B159" s="33" t="s">
        <v>277</v>
      </c>
      <c r="C159" s="33" t="s">
        <v>205</v>
      </c>
    </row>
    <row r="160" spans="1:3" ht="43.5" x14ac:dyDescent="0.35">
      <c r="A160" s="33" t="s">
        <v>351</v>
      </c>
      <c r="B160" s="33" t="s">
        <v>284</v>
      </c>
      <c r="C160" s="33" t="s">
        <v>352</v>
      </c>
    </row>
    <row r="161" spans="1:3" ht="43.5" x14ac:dyDescent="0.35">
      <c r="A161" s="33" t="s">
        <v>229</v>
      </c>
      <c r="B161" s="33" t="s">
        <v>12</v>
      </c>
      <c r="C161" s="33" t="s">
        <v>230</v>
      </c>
    </row>
    <row r="162" spans="1:3" ht="43.5" x14ac:dyDescent="0.35">
      <c r="A162" s="33" t="s">
        <v>308</v>
      </c>
      <c r="B162" s="33" t="s">
        <v>285</v>
      </c>
      <c r="C162" s="33" t="s">
        <v>309</v>
      </c>
    </row>
    <row r="163" spans="1:3" ht="409.5" x14ac:dyDescent="0.35">
      <c r="A163" s="33" t="s">
        <v>290</v>
      </c>
      <c r="B163" s="33" t="s">
        <v>278</v>
      </c>
      <c r="C163" s="33" t="s">
        <v>291</v>
      </c>
    </row>
    <row r="164" spans="1:3" ht="58" x14ac:dyDescent="0.35">
      <c r="A164" s="33" t="s">
        <v>18</v>
      </c>
      <c r="B164" s="33" t="s">
        <v>274</v>
      </c>
      <c r="C164" s="33" t="s">
        <v>19</v>
      </c>
    </row>
    <row r="165" spans="1:3" ht="58" x14ac:dyDescent="0.35">
      <c r="A165" s="33" t="s">
        <v>257</v>
      </c>
      <c r="B165" s="33" t="s">
        <v>273</v>
      </c>
      <c r="C165" s="33" t="s">
        <v>258</v>
      </c>
    </row>
    <row r="166" spans="1:3" x14ac:dyDescent="0.35">
      <c r="A166" s="33" t="s">
        <v>5</v>
      </c>
      <c r="B166" s="33" t="s">
        <v>278</v>
      </c>
      <c r="C166" s="33" t="s">
        <v>265</v>
      </c>
    </row>
    <row r="167" spans="1:3" ht="43.5" x14ac:dyDescent="0.35">
      <c r="A167" s="33" t="s">
        <v>95</v>
      </c>
      <c r="B167" s="33" t="s">
        <v>97</v>
      </c>
      <c r="C167" s="33" t="s">
        <v>350</v>
      </c>
    </row>
    <row r="168" spans="1:3" ht="87" x14ac:dyDescent="0.35">
      <c r="A168" s="33" t="s">
        <v>2</v>
      </c>
      <c r="B168" s="33" t="s">
        <v>278</v>
      </c>
      <c r="C168" s="33" t="s">
        <v>3</v>
      </c>
    </row>
    <row r="169" spans="1:3" ht="101.5" x14ac:dyDescent="0.35">
      <c r="A169" s="33" t="s">
        <v>357</v>
      </c>
      <c r="B169" s="33" t="s">
        <v>276</v>
      </c>
      <c r="C169" s="33" t="s">
        <v>358</v>
      </c>
    </row>
    <row r="170" spans="1:3" ht="43.5" x14ac:dyDescent="0.35">
      <c r="A170" s="33" t="s">
        <v>220</v>
      </c>
      <c r="B170" s="33" t="s">
        <v>277</v>
      </c>
      <c r="C170" s="33" t="s">
        <v>221</v>
      </c>
    </row>
    <row r="171" spans="1:3" x14ac:dyDescent="0.35">
      <c r="A171" s="33" t="s">
        <v>52</v>
      </c>
      <c r="B171" s="33" t="s">
        <v>275</v>
      </c>
      <c r="C171" s="33" t="s">
        <v>53</v>
      </c>
    </row>
    <row r="172" spans="1:3" ht="43.5" x14ac:dyDescent="0.35">
      <c r="A172" s="33" t="s">
        <v>334</v>
      </c>
      <c r="B172" s="33" t="s">
        <v>273</v>
      </c>
      <c r="C172" s="33" t="s">
        <v>335</v>
      </c>
    </row>
    <row r="173" spans="1:3" ht="43.5" x14ac:dyDescent="0.35">
      <c r="A173" s="33" t="s">
        <v>249</v>
      </c>
      <c r="B173" s="33" t="s">
        <v>276</v>
      </c>
      <c r="C173" s="33" t="s">
        <v>250</v>
      </c>
    </row>
    <row r="174" spans="1:3" ht="130.5" x14ac:dyDescent="0.35">
      <c r="A174" s="33" t="s">
        <v>46</v>
      </c>
      <c r="B174" s="33" t="s">
        <v>97</v>
      </c>
      <c r="C174" s="33" t="s">
        <v>47</v>
      </c>
    </row>
    <row r="175" spans="1:3" ht="43.5" x14ac:dyDescent="0.35">
      <c r="A175" s="33" t="s">
        <v>48</v>
      </c>
      <c r="B175" s="33" t="s">
        <v>97</v>
      </c>
      <c r="C175" s="33" t="s">
        <v>49</v>
      </c>
    </row>
    <row r="176" spans="1:3" ht="145" x14ac:dyDescent="0.35">
      <c r="A176" s="33" t="s">
        <v>286</v>
      </c>
      <c r="B176" s="33" t="s">
        <v>284</v>
      </c>
      <c r="C176" s="33" t="s">
        <v>279</v>
      </c>
    </row>
    <row r="177" spans="1:3" ht="43.5" x14ac:dyDescent="0.35">
      <c r="A177" s="33" t="s">
        <v>261</v>
      </c>
      <c r="B177" s="33" t="s">
        <v>274</v>
      </c>
      <c r="C177" s="33" t="s">
        <v>262</v>
      </c>
    </row>
    <row r="178" spans="1:3" ht="43.5" x14ac:dyDescent="0.35">
      <c r="A178" s="33" t="s">
        <v>298</v>
      </c>
      <c r="B178" s="33" t="s">
        <v>12</v>
      </c>
      <c r="C178" s="33" t="s">
        <v>299</v>
      </c>
    </row>
    <row r="179" spans="1:3" ht="43.5" x14ac:dyDescent="0.35">
      <c r="A179" s="33" t="s">
        <v>324</v>
      </c>
      <c r="B179" s="33" t="s">
        <v>274</v>
      </c>
      <c r="C179" s="33" t="s">
        <v>325</v>
      </c>
    </row>
    <row r="180" spans="1:3" ht="87" x14ac:dyDescent="0.35">
      <c r="A180" s="33" t="s">
        <v>38</v>
      </c>
      <c r="B180" s="33" t="s">
        <v>285</v>
      </c>
      <c r="C180" s="33" t="s">
        <v>39</v>
      </c>
    </row>
    <row r="181" spans="1:3" ht="87" x14ac:dyDescent="0.35">
      <c r="A181" s="33" t="s">
        <v>312</v>
      </c>
      <c r="B181" s="33" t="s">
        <v>285</v>
      </c>
      <c r="C181" s="33" t="s">
        <v>313</v>
      </c>
    </row>
    <row r="182" spans="1:3" ht="43.5" x14ac:dyDescent="0.35">
      <c r="A182" s="33" t="s">
        <v>88</v>
      </c>
      <c r="B182" s="33" t="s">
        <v>12</v>
      </c>
      <c r="C182" s="33" t="s">
        <v>228</v>
      </c>
    </row>
    <row r="183" spans="1:3" ht="43.5" x14ac:dyDescent="0.35">
      <c r="A183" s="33" t="s">
        <v>239</v>
      </c>
      <c r="B183" s="33" t="s">
        <v>12</v>
      </c>
      <c r="C183" s="33" t="s">
        <v>240</v>
      </c>
    </row>
    <row r="184" spans="1:3" ht="43.5" x14ac:dyDescent="0.35">
      <c r="A184" s="33" t="s">
        <v>302</v>
      </c>
      <c r="B184" s="33" t="s">
        <v>12</v>
      </c>
      <c r="C184" s="33" t="s">
        <v>303</v>
      </c>
    </row>
    <row r="185" spans="1:3" ht="116" x14ac:dyDescent="0.35">
      <c r="A185" s="33" t="s">
        <v>289</v>
      </c>
      <c r="B185" s="33" t="s">
        <v>284</v>
      </c>
      <c r="C185" s="33" t="s">
        <v>282</v>
      </c>
    </row>
    <row r="186" spans="1:3" ht="130.5" x14ac:dyDescent="0.35">
      <c r="A186" s="33" t="s">
        <v>288</v>
      </c>
      <c r="B186" s="33" t="s">
        <v>284</v>
      </c>
      <c r="C186" s="33" t="s">
        <v>281</v>
      </c>
    </row>
    <row r="187" spans="1:3" ht="130.5" x14ac:dyDescent="0.35">
      <c r="A187" s="33" t="s">
        <v>36</v>
      </c>
      <c r="B187" s="33" t="s">
        <v>285</v>
      </c>
      <c r="C187" s="33" t="s">
        <v>37</v>
      </c>
    </row>
    <row r="188" spans="1:3" ht="58" x14ac:dyDescent="0.35">
      <c r="A188" s="33" t="s">
        <v>96</v>
      </c>
      <c r="B188" s="33" t="s">
        <v>97</v>
      </c>
      <c r="C188" s="33" t="s">
        <v>248</v>
      </c>
    </row>
    <row r="189" spans="1:3" ht="43.5" x14ac:dyDescent="0.35">
      <c r="A189" s="33" t="s">
        <v>251</v>
      </c>
      <c r="B189" s="33" t="s">
        <v>276</v>
      </c>
      <c r="C189" s="33" t="s">
        <v>252</v>
      </c>
    </row>
    <row r="190" spans="1:3" ht="43.5" x14ac:dyDescent="0.35">
      <c r="A190" s="33" t="s">
        <v>86</v>
      </c>
      <c r="B190" s="33" t="s">
        <v>278</v>
      </c>
      <c r="C190" s="33" t="s">
        <v>349</v>
      </c>
    </row>
    <row r="191" spans="1:3" ht="58" x14ac:dyDescent="0.35">
      <c r="A191" s="33" t="s">
        <v>245</v>
      </c>
      <c r="B191" s="33" t="s">
        <v>285</v>
      </c>
      <c r="C191" s="33" t="s">
        <v>246</v>
      </c>
    </row>
    <row r="192" spans="1:3" ht="116" x14ac:dyDescent="0.35">
      <c r="A192" s="33" t="s">
        <v>26</v>
      </c>
      <c r="B192" s="33" t="s">
        <v>285</v>
      </c>
      <c r="C192" s="33" t="s">
        <v>27</v>
      </c>
    </row>
    <row r="193" spans="1:3" ht="43.5" x14ac:dyDescent="0.35">
      <c r="A193" s="33" t="s">
        <v>318</v>
      </c>
      <c r="B193" s="33" t="s">
        <v>274</v>
      </c>
      <c r="C193" s="33" t="s">
        <v>319</v>
      </c>
    </row>
    <row r="194" spans="1:3" ht="43.5" x14ac:dyDescent="0.35">
      <c r="A194" s="33" t="s">
        <v>310</v>
      </c>
      <c r="B194" s="33" t="s">
        <v>285</v>
      </c>
      <c r="C194" s="33" t="s">
        <v>311</v>
      </c>
    </row>
    <row r="195" spans="1:3" ht="43.5" x14ac:dyDescent="0.35">
      <c r="A195" s="33" t="s">
        <v>237</v>
      </c>
      <c r="B195" s="33" t="s">
        <v>12</v>
      </c>
      <c r="C195" s="33" t="s">
        <v>238</v>
      </c>
    </row>
    <row r="196" spans="1:3" x14ac:dyDescent="0.35">
      <c r="A196" s="33" t="s">
        <v>28</v>
      </c>
      <c r="B196" s="33" t="s">
        <v>12</v>
      </c>
      <c r="C196" s="33" t="s">
        <v>29</v>
      </c>
    </row>
    <row r="197" spans="1:3" ht="333.5" x14ac:dyDescent="0.35">
      <c r="A197" s="33" t="s">
        <v>4</v>
      </c>
      <c r="B197" s="33" t="s">
        <v>275</v>
      </c>
      <c r="C197" s="33" t="s">
        <v>272</v>
      </c>
    </row>
    <row r="198" spans="1:3" ht="43.5" x14ac:dyDescent="0.35">
      <c r="A198" s="33" t="s">
        <v>326</v>
      </c>
      <c r="B198" s="33" t="s">
        <v>275</v>
      </c>
      <c r="C198" s="33" t="s">
        <v>327</v>
      </c>
    </row>
    <row r="199" spans="1:3" ht="43.5" x14ac:dyDescent="0.35">
      <c r="A199" s="33" t="s">
        <v>241</v>
      </c>
      <c r="B199" s="33" t="s">
        <v>273</v>
      </c>
      <c r="C199" s="33" t="s">
        <v>242</v>
      </c>
    </row>
    <row r="200" spans="1:3" ht="43.5" x14ac:dyDescent="0.35">
      <c r="A200" s="33" t="s">
        <v>322</v>
      </c>
      <c r="B200" s="33" t="s">
        <v>274</v>
      </c>
      <c r="C200" s="33" t="s">
        <v>323</v>
      </c>
    </row>
    <row r="201" spans="1:3" ht="130.5" x14ac:dyDescent="0.35">
      <c r="A201" s="33" t="s">
        <v>16</v>
      </c>
      <c r="B201" s="33" t="s">
        <v>274</v>
      </c>
      <c r="C201" s="33" t="s">
        <v>17</v>
      </c>
    </row>
    <row r="202" spans="1:3" ht="43.5" x14ac:dyDescent="0.35">
      <c r="A202" s="33" t="s">
        <v>212</v>
      </c>
      <c r="B202" s="33" t="s">
        <v>283</v>
      </c>
      <c r="C202" s="33" t="s">
        <v>213</v>
      </c>
    </row>
    <row r="203" spans="1:3" ht="43.5" x14ac:dyDescent="0.35">
      <c r="A203" s="33" t="s">
        <v>231</v>
      </c>
      <c r="B203" s="33" t="s">
        <v>12</v>
      </c>
      <c r="C203" s="33" t="s">
        <v>232</v>
      </c>
    </row>
    <row r="204" spans="1:3" ht="130.5" x14ac:dyDescent="0.35">
      <c r="A204" s="33" t="s">
        <v>336</v>
      </c>
      <c r="B204" s="33" t="s">
        <v>273</v>
      </c>
      <c r="C204" s="33" t="s">
        <v>337</v>
      </c>
    </row>
    <row r="205" spans="1:3" ht="43.5" x14ac:dyDescent="0.35">
      <c r="A205" s="33" t="s">
        <v>218</v>
      </c>
      <c r="B205" s="33" t="s">
        <v>277</v>
      </c>
      <c r="C205" s="33" t="s">
        <v>219</v>
      </c>
    </row>
    <row r="206" spans="1:3" ht="43.5" x14ac:dyDescent="0.35">
      <c r="A206" s="33" t="s">
        <v>332</v>
      </c>
      <c r="B206" s="33" t="s">
        <v>275</v>
      </c>
      <c r="C206" s="33" t="s">
        <v>333</v>
      </c>
    </row>
    <row r="207" spans="1:3" ht="43.5" x14ac:dyDescent="0.35">
      <c r="A207" s="33" t="s">
        <v>328</v>
      </c>
      <c r="B207" s="33" t="s">
        <v>283</v>
      </c>
      <c r="C207" s="33" t="s">
        <v>329</v>
      </c>
    </row>
    <row r="208" spans="1:3" ht="58" x14ac:dyDescent="0.35">
      <c r="A208" s="33" t="s">
        <v>202</v>
      </c>
      <c r="B208" s="33" t="s">
        <v>97</v>
      </c>
      <c r="C208" s="33" t="s">
        <v>203</v>
      </c>
    </row>
    <row r="209" spans="1:3" ht="43.5" x14ac:dyDescent="0.35">
      <c r="A209" s="33" t="s">
        <v>353</v>
      </c>
      <c r="B209" s="33" t="s">
        <v>276</v>
      </c>
      <c r="C209" s="33" t="s">
        <v>354</v>
      </c>
    </row>
    <row r="210" spans="1:3" ht="43.5" x14ac:dyDescent="0.35">
      <c r="A210" s="33" t="s">
        <v>344</v>
      </c>
      <c r="B210" s="33" t="s">
        <v>273</v>
      </c>
      <c r="C210" s="33" t="s">
        <v>345</v>
      </c>
    </row>
    <row r="211" spans="1:3" ht="43.5" x14ac:dyDescent="0.35">
      <c r="A211" s="33" t="s">
        <v>296</v>
      </c>
      <c r="B211" s="33" t="s">
        <v>12</v>
      </c>
      <c r="C211" s="33" t="s">
        <v>297</v>
      </c>
    </row>
    <row r="212" spans="1:3" ht="43.5" x14ac:dyDescent="0.35">
      <c r="A212" s="33" t="s">
        <v>355</v>
      </c>
      <c r="B212" s="33" t="s">
        <v>276</v>
      </c>
      <c r="C212" s="33" t="s">
        <v>356</v>
      </c>
    </row>
    <row r="213" spans="1:3" ht="130.5" x14ac:dyDescent="0.35">
      <c r="A213" s="33" t="s">
        <v>287</v>
      </c>
      <c r="B213" s="33" t="s">
        <v>284</v>
      </c>
      <c r="C213" s="33" t="s">
        <v>280</v>
      </c>
    </row>
    <row r="214" spans="1:3" ht="43.5" x14ac:dyDescent="0.35">
      <c r="A214" s="33" t="s">
        <v>253</v>
      </c>
      <c r="B214" s="33" t="s">
        <v>276</v>
      </c>
      <c r="C214" s="33" t="s">
        <v>254</v>
      </c>
    </row>
    <row r="215" spans="1:3" ht="43.5" x14ac:dyDescent="0.35">
      <c r="A215" s="33" t="s">
        <v>216</v>
      </c>
      <c r="B215" s="33" t="s">
        <v>275</v>
      </c>
      <c r="C215" s="33" t="s">
        <v>217</v>
      </c>
    </row>
    <row r="216" spans="1:3" ht="58" x14ac:dyDescent="0.35">
      <c r="A216" s="33" t="s">
        <v>10</v>
      </c>
      <c r="B216" s="33" t="s">
        <v>277</v>
      </c>
      <c r="C216" s="33" t="s">
        <v>11</v>
      </c>
    </row>
    <row r="217" spans="1:3" x14ac:dyDescent="0.35">
      <c r="A217" s="33" t="s">
        <v>8</v>
      </c>
      <c r="B217" s="33" t="s">
        <v>277</v>
      </c>
      <c r="C217" s="33" t="s">
        <v>9</v>
      </c>
    </row>
    <row r="218" spans="1:3" ht="43.5" x14ac:dyDescent="0.35">
      <c r="A218" s="33" t="s">
        <v>316</v>
      </c>
      <c r="B218" s="33" t="s">
        <v>274</v>
      </c>
      <c r="C218" s="33" t="s">
        <v>317</v>
      </c>
    </row>
    <row r="219" spans="1:3" ht="72.5" x14ac:dyDescent="0.35">
      <c r="A219" s="33" t="s">
        <v>42</v>
      </c>
      <c r="B219" s="33" t="s">
        <v>285</v>
      </c>
      <c r="C219" s="33" t="s">
        <v>43</v>
      </c>
    </row>
    <row r="220" spans="1:3" ht="43.5" x14ac:dyDescent="0.35">
      <c r="A220" s="33" t="s">
        <v>224</v>
      </c>
      <c r="B220" s="33" t="s">
        <v>274</v>
      </c>
      <c r="C220" s="33" t="s">
        <v>225</v>
      </c>
    </row>
    <row r="221" spans="1:3" ht="43.5" x14ac:dyDescent="0.35">
      <c r="A221" s="33" t="s">
        <v>330</v>
      </c>
      <c r="B221" s="33" t="s">
        <v>283</v>
      </c>
      <c r="C221" s="33" t="s">
        <v>331</v>
      </c>
    </row>
    <row r="222" spans="1:3" x14ac:dyDescent="0.35">
      <c r="A222" s="33" t="s">
        <v>24</v>
      </c>
      <c r="B222" s="33" t="s">
        <v>276</v>
      </c>
      <c r="C222" s="33" t="s">
        <v>25</v>
      </c>
    </row>
    <row r="223" spans="1:3" ht="72.5" x14ac:dyDescent="0.35">
      <c r="A223" s="33" t="s">
        <v>50</v>
      </c>
      <c r="B223" s="33" t="s">
        <v>12</v>
      </c>
      <c r="C223" s="33" t="s">
        <v>51</v>
      </c>
    </row>
    <row r="224" spans="1:3" ht="43.5" x14ac:dyDescent="0.35">
      <c r="A224" s="33" t="s">
        <v>208</v>
      </c>
      <c r="B224" s="33" t="s">
        <v>275</v>
      </c>
      <c r="C224" s="33" t="s">
        <v>209</v>
      </c>
    </row>
  </sheetData>
  <autoFilter ref="A7:C7" xr:uid="{4072158C-72F9-48D7-8B2B-782B6258A08C}"/>
  <mergeCells count="5">
    <mergeCell ref="A116:C116"/>
    <mergeCell ref="A1:C1"/>
    <mergeCell ref="A2:C2"/>
    <mergeCell ref="B4:C4"/>
    <mergeCell ref="A5:C5"/>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D6B6A-9C88-437B-9105-B87C9D5C1BBC}">
  <sheetPr>
    <tabColor rgb="FF7DFFC2"/>
  </sheetPr>
  <dimension ref="A1:E62"/>
  <sheetViews>
    <sheetView showGridLines="0" workbookViewId="0">
      <pane ySplit="7" topLeftCell="A8" activePane="bottomLeft" state="frozen"/>
      <selection pane="bottomLeft" activeCell="B4" sqref="B4:E4"/>
    </sheetView>
  </sheetViews>
  <sheetFormatPr baseColWidth="10" defaultRowHeight="14.5" x14ac:dyDescent="0.35"/>
  <cols>
    <col min="1" max="1" width="24.54296875" customWidth="1"/>
    <col min="2" max="2" width="22.7265625" customWidth="1"/>
    <col min="3" max="4" width="45.453125" customWidth="1"/>
    <col min="5" max="5" width="38.1796875" customWidth="1"/>
  </cols>
  <sheetData>
    <row r="1" spans="1:5" ht="36" customHeight="1" thickBot="1" x14ac:dyDescent="0.4">
      <c r="A1" s="103" t="s">
        <v>689</v>
      </c>
      <c r="B1" s="103"/>
      <c r="C1" s="103"/>
      <c r="D1" s="103"/>
      <c r="E1" s="103"/>
    </row>
    <row r="2" spans="1:5" ht="30" customHeight="1" thickTop="1" x14ac:dyDescent="0.35">
      <c r="A2" s="104" t="s">
        <v>690</v>
      </c>
      <c r="B2" s="104"/>
      <c r="C2" s="104"/>
      <c r="D2" s="104"/>
      <c r="E2" s="104"/>
    </row>
    <row r="3" spans="1:5" ht="15" customHeight="1" x14ac:dyDescent="0.35">
      <c r="A3" s="32"/>
      <c r="B3" s="32"/>
      <c r="C3" s="32"/>
      <c r="D3" s="32"/>
      <c r="E3" s="32"/>
    </row>
    <row r="4" spans="1:5" ht="15" customHeight="1" x14ac:dyDescent="0.35">
      <c r="A4" s="43" t="s">
        <v>1114</v>
      </c>
      <c r="B4" s="105"/>
      <c r="C4" s="122"/>
      <c r="D4" s="122"/>
      <c r="E4" s="106"/>
    </row>
    <row r="5" spans="1:5" ht="15" customHeight="1" x14ac:dyDescent="0.35">
      <c r="A5" s="107" t="s">
        <v>691</v>
      </c>
      <c r="B5" s="107"/>
      <c r="C5" s="107"/>
      <c r="D5" s="107"/>
      <c r="E5" s="107"/>
    </row>
    <row r="6" spans="1:5" ht="15" customHeight="1" x14ac:dyDescent="0.35">
      <c r="A6" s="32"/>
      <c r="B6" s="32"/>
      <c r="C6" s="32"/>
      <c r="D6" s="32"/>
      <c r="E6" s="32"/>
    </row>
    <row r="7" spans="1:5" ht="15" customHeight="1" x14ac:dyDescent="0.35">
      <c r="A7" s="55" t="s">
        <v>14</v>
      </c>
      <c r="B7" s="54" t="s">
        <v>97</v>
      </c>
      <c r="C7" s="54" t="s">
        <v>1</v>
      </c>
      <c r="D7" s="54" t="s">
        <v>692</v>
      </c>
      <c r="E7" s="56" t="s">
        <v>693</v>
      </c>
    </row>
    <row r="8" spans="1:5" ht="43.5" x14ac:dyDescent="0.35">
      <c r="A8" s="57" t="str" cm="1">
        <f t="array" ref="A8:E32">_xlfn.LET(_xlpm.q,LOWER(TRIM($B$4)),_xlpm.agents,$A$38:$A$62,_xlpm.tools,$B$38:$B$62,_xlpm.descs,$C$38:$C$62,_xlpm.uses,$D$38:$D$62,_xlpm.moments,$E$38:$E$62,_xlpm.result,_xlfn.HSTACK(_xlpm.agents,_xlpm.tools,_xlpm.descs,_xlpm.uses,_xlpm.moments),_xlpm.hay,LOWER(_xlpm.agents&amp;" "&amp;_xlpm.tools&amp;" "&amp;_xlpm.descs&amp;" "&amp;_xlpm.uses&amp;" "&amp;_xlpm.moments),IF(_xlpm.q="",_xlfn._xlws.SORT(_xlpm.result,1,1),IFERROR(_xlfn._xlws.SORT(_xlfn._xlws.FILTER(_xlpm.result,ISNUMBER(SEARCH(_xlpm.q,_xlpm.hay))),1,1),"Aucun résultat : essayez un terme plus simple ou un synonyme")))</f>
        <v>Agent de pages Sharepoint</v>
      </c>
      <c r="B8" s="51" t="str">
        <v>SharePoint</v>
      </c>
      <c r="C8" s="37" t="str">
        <v>Agent qui aide à créer, structurer et optimiser des pages SharePoint pour la communication interne.</v>
      </c>
      <c r="D8" s="37" t="str">
        <v>Crée une page d'actualités pour [annonce]
Optimise cette page pour une meilleure lisibilité
Génère une page de documentation pour [projet]</v>
      </c>
      <c r="E8" s="37" t="str">
        <v>Pour créer du contenu SharePoint engageant sans compétences en design.</v>
      </c>
    </row>
    <row r="9" spans="1:5" ht="58" x14ac:dyDescent="0.35">
      <c r="A9" s="57" t="str">
        <v>Agent du Playbook IA</v>
      </c>
      <c r="B9" s="51" t="str">
        <v>Microsoft 365 Copilot / Copilot Studio</v>
      </c>
      <c r="C9" s="37" t="str">
        <v>Guide conversationnel de l’Atlas qui révèle la couleur IA d’un lecteur, précise son niveau de maturité et transforme son intention en parcours personnalisé.</v>
      </c>
      <c r="D9" s="37" t="str">
        <v>Aide-moi à identifier ma couleur IA
Quel parcours de l’Atlas correspond à mon profil ?
Adapte le parcours à mon audience et à mon niveau de maturité</v>
      </c>
      <c r="E9" s="37" t="str">
        <v>À utiliser dès l’accueil du Playbook pour qualifier l’intention, la maturité et l’audience avant d’orienter vers les bonnes ressources.</v>
      </c>
    </row>
    <row r="10" spans="1:5" ht="87" x14ac:dyDescent="0.35">
      <c r="A10" s="57" t="str">
        <v>AI Learning Advisor</v>
      </c>
      <c r="B10" s="51" t="str">
        <v>Viva Learning</v>
      </c>
      <c r="C10" s="37" t="str">
        <v>Agent de conseil en formation qui recommande des parcours d'apprentissage personnalisés basés sur vos objectifs de carrière et compétences actuelles.</v>
      </c>
      <c r="D10" s="37" t="str">
        <v>Quelles formations pour devenir expert en [domaine] ?
Crée un plan de développement pour [compétence]
Quelles certifications recommandes-tu pour mon profil ?</v>
      </c>
      <c r="E10" s="37" t="str">
        <v>Pour planifier votre montée en compétences et identifier les formations pertinentes.</v>
      </c>
    </row>
    <row r="11" spans="1:5" ht="72.5" x14ac:dyDescent="0.35">
      <c r="A11" s="57" t="str">
        <v>Analyste</v>
      </c>
      <c r="B11" s="51" t="str">
        <v>Excel / Power BI</v>
      </c>
      <c r="C11" s="37" t="str">
        <v>Agent d'analyse de données qui aide à interpréter des données, créer des visualisations et identifier des tendances dans les fichiers Excel et rapports Power BI.</v>
      </c>
      <c r="D11" s="37" t="str">
        <v>Analyse les tendances de ventes du Q1
Crée un graphique comparant [données A] et [données B]
Quelles sont les anomalies dans ce jeu de données ?</v>
      </c>
      <c r="E11" s="37" t="str">
        <v>Pour analyser des données complexes et obtenir des insights sans être expert en analyse.</v>
      </c>
    </row>
    <row r="12" spans="1:5" ht="72.5" x14ac:dyDescent="0.35">
      <c r="A12" s="57" t="str">
        <v>Career Coach</v>
      </c>
      <c r="B12" s="51" t="str">
        <v>Viva</v>
      </c>
      <c r="C12" s="37" t="str">
        <v>Agent de coaching de carrière qui aide à définir des objectifs professionnels, préparer des entretiens et planifier des évolutions.</v>
      </c>
      <c r="D12" s="37" t="str">
        <v>Aide-moi à préparer mon entretien annuel
Quelles compétences développer pour évoluer vers [poste] ?
Comment présenter mon parcours pour [opportunité] ?</v>
      </c>
      <c r="E12" s="37" t="str">
        <v>Pour réfléchir à votre développement de carrière avec un coach virtuel.</v>
      </c>
    </row>
    <row r="13" spans="1:5" ht="58" x14ac:dyDescent="0.35">
      <c r="A13" s="57" t="str">
        <v>Excel</v>
      </c>
      <c r="B13" s="51" t="str">
        <v>Excel</v>
      </c>
      <c r="C13" s="37" t="str">
        <v>Agent intégré à Excel qui aide à analyser des données, créer des formules, générer des graphiques et automatiser des tâches.</v>
      </c>
      <c r="D13" s="37" t="str">
        <v>Crée une formule pour calculer [objectif]
Analyse les tendances de ce tableau
Génère un tableau croisé dynamique par [dimension]</v>
      </c>
      <c r="E13" s="37" t="str">
        <v>Pour manipuler des données et créer des analyses sans être expert Excel.</v>
      </c>
    </row>
    <row r="14" spans="1:5" ht="87" x14ac:dyDescent="0.35">
      <c r="A14" s="57" t="str">
        <v>Idea Coach</v>
      </c>
      <c r="B14" s="51" t="str">
        <v>PowerPoint / Copilot Chat</v>
      </c>
      <c r="C14" s="37" t="str">
        <v>Aide les utilisateurs à développer et à affiner leurs idées et à améliorer leurs sessions de brainstorming. Le modèle d’agent Idea Coach utilise un ton amusant et collaboratif pour inspirer la créativité et garantir des interactions de brainstorming attrayantes et productives.</v>
      </c>
      <c r="D14" s="37" t="str">
        <v>Générer des idées et des rubriques
Planifier des sessions de brainstorming
Trouver des exercices créatifs de brainstorming
Organiser les idées
Améliorer leurs compétences en matière de brainstorming</v>
      </c>
      <c r="E14" s="37" t="str">
        <v>Pour trouver des idées avant de commencer une présentation par exemple.</v>
      </c>
    </row>
    <row r="15" spans="1:5" ht="43.5" x14ac:dyDescent="0.35">
      <c r="A15" s="57" t="str">
        <v>Insights Agent</v>
      </c>
      <c r="B15" s="51" t="str">
        <v>Viva Insights</v>
      </c>
      <c r="C15" s="37" t="str">
        <v>Agent qui analyse vos habitudes de travail et suggère des améliorations pour votre productivité et bien-être.</v>
      </c>
      <c r="D15" s="37" t="str">
        <v>Comment puis-je mieux organiser mes réunions ?
Quand suis-je le plus productif ?
Comment réduire mes interruptions ?</v>
      </c>
      <c r="E15" s="37" t="str">
        <v>Pour optimiser votre temps et améliorer votre équilibre travail-vie personnelle.</v>
      </c>
    </row>
    <row r="16" spans="1:5" ht="58" x14ac:dyDescent="0.35">
      <c r="A16" s="57" t="str">
        <v>Learning</v>
      </c>
      <c r="B16" s="51" t="str">
        <v>Viva Learning</v>
      </c>
      <c r="C16" s="37" t="str">
        <v>Agent qui recommande des contenus de formation pertinents et aide à organiser le temps d'apprentissage.</v>
      </c>
      <c r="D16" s="37" t="str">
        <v>Recommande des cours sur [sujet]
Planifie 2h d'apprentissage cette semaine
Quels sont les nouveaux contenus dans mon domaine ?</v>
      </c>
      <c r="E16" s="37" t="str">
        <v>Pour maintenir une culture d'apprentissage continu.</v>
      </c>
    </row>
    <row r="17" spans="1:5" ht="58" x14ac:dyDescent="0.35">
      <c r="A17" s="57" t="str">
        <v>Planner Agent</v>
      </c>
      <c r="B17" s="51" t="str">
        <v>Microsoft Planner</v>
      </c>
      <c r="C17" s="37" t="str">
        <v>Agent de gestion de projet qui aide à créer des plans, assigner des tâches, suivre l'avancement et organiser le travail d'équipe.</v>
      </c>
      <c r="D17" s="37" t="str">
        <v>Crée un plan de projet pour [initiative]
Quelles tâches sont en retard cette semaine ?
Assigne les tâches du sprint aux membres de l'équipe</v>
      </c>
      <c r="E17" s="37" t="str">
        <v>Pour organiser et suivre les projets d'équipe sans quitter la conversation.</v>
      </c>
    </row>
    <row r="18" spans="1:5" ht="72.5" x14ac:dyDescent="0.35">
      <c r="A18" s="57" t="str">
        <v>PowerPoint</v>
      </c>
      <c r="B18" s="51" t="str">
        <v>PowerPoint</v>
      </c>
      <c r="C18" s="37" t="str">
        <v>Agent intégré à PowerPoint qui aide à créer, structurer et améliorer des présentations à partir de documents, notes ou instructions.</v>
      </c>
      <c r="D18" s="37" t="str">
        <v>Crée une présentation de 10 slides sur [sujet]
Résume ce document en une présentation exécutive
Ajoute des notes de présentateur pour chaque diapositive</v>
      </c>
      <c r="E18" s="37" t="str">
        <v>Pour créer rapidement des présentations professionnelles ou transformer des documents en slides.</v>
      </c>
    </row>
    <row r="19" spans="1:5" ht="58" x14ac:dyDescent="0.35">
      <c r="A19" s="57" t="str">
        <v>Prompt Coach</v>
      </c>
      <c r="B19" s="51" t="str">
        <v>Copilot Chat</v>
      </c>
      <c r="C19" s="37" t="str">
        <v>Agent qui aide les utilisateurs à formuler de meilleurs prompts pour obtenir des réponses plus pertinentes et précises de Copilot.</v>
      </c>
      <c r="D19" s="37" t="str">
        <v>Comment reformuler cette demande pour de meilleurs résultats ?
Aide-moi à structurer mon prompt pour [objectif]
Qu'est-ce qui manque dans mon instruction ?</v>
      </c>
      <c r="E19" s="37" t="str">
        <v>Quand vos prompts ne donnent pas les résultats attendus ou pour apprendre à mieux communiquer avec l'IA.</v>
      </c>
    </row>
    <row r="20" spans="1:5" ht="58" x14ac:dyDescent="0.35">
      <c r="A20" s="57" t="str">
        <v>Recherche</v>
      </c>
      <c r="B20" s="51" t="str">
        <v>Microsoft Search</v>
      </c>
      <c r="C20" s="37" t="str">
        <v>Agent spécialisé dans la recherche d'informations dans les données Microsoft 365 de l'organisation (fichiers, emails, conversations Teams, sites SharePoint).</v>
      </c>
      <c r="D20" s="37" t="str">
        <v>Trouve les documents liés au projet X
Recherche les emails de [personne] sur [sujet]
Quels fichiers ont été modifiés cette semaine sur [thème] ?</v>
      </c>
      <c r="E20" s="37" t="str">
        <v>Pour retrouver rapidement des informations dispersées dans votre environnement M365.</v>
      </c>
    </row>
    <row r="21" spans="1:5" ht="72.5" x14ac:dyDescent="0.35">
      <c r="A21" s="57" t="str">
        <v>Sales</v>
      </c>
      <c r="B21" s="51" t="str">
        <v>Dynamics 365 / Viva Sales</v>
      </c>
      <c r="C21" s="37" t="str">
        <v>Agent commercial qui aide à préparer des réunions clients, résumer des opportunités et suggérer des actions de suivi.</v>
      </c>
      <c r="D21" s="37" t="str">
        <v>Prépare un briefing pour ma réunion avec [client]
Résume l'historique des interactions avec [compte]
Quelles opportunités nécessitent un suivi cette semaine ?</v>
      </c>
      <c r="E21" s="37" t="str">
        <v>Pour les commerciaux qui veulent être mieux préparés et plus efficaces.</v>
      </c>
    </row>
    <row r="22" spans="1:5" ht="58" x14ac:dyDescent="0.35">
      <c r="A22" s="57" t="str">
        <v>Service</v>
      </c>
      <c r="B22" s="51" t="str">
        <v>Dynamics 365 Service</v>
      </c>
      <c r="C22" s="37" t="str">
        <v>Agent de support client qui aide à résoudre des tickets, accéder à la base de connaissances et suggérer des solutions.</v>
      </c>
      <c r="D22" s="37" t="str">
        <v>Trouve une solution pour [problème client]
Résume l'historique de ce ticket
Quels articles de la KB sont pertinents pour ce cas ?</v>
      </c>
      <c r="E22" s="37" t="str">
        <v>Pour les équipes support qui veulent résoudre les demandes plus rapidement.</v>
      </c>
    </row>
    <row r="23" spans="1:5" ht="43.5" x14ac:dyDescent="0.35">
      <c r="A23" s="57" t="str">
        <v>SharePoint Admin Agent</v>
      </c>
      <c r="B23" s="51" t="str">
        <v>SharePoint Admin Center</v>
      </c>
      <c r="C23" s="37" t="str">
        <v>Agent pour les administrateurs SharePoint qui aide à gérer les sites, permissions, quotas et politiques de gouvernance.</v>
      </c>
      <c r="D23" s="37" t="str">
        <v>Quels sites sont inactifs depuis 6 mois ?
Vérifie les permissions sur [site]
Génère un rapport d'utilisation du stockage</v>
      </c>
      <c r="E23" s="37" t="str">
        <v>Pour les administrateurs SharePoint qui veulent simplifier la gouvernance.</v>
      </c>
    </row>
    <row r="24" spans="1:5" ht="43.5" x14ac:dyDescent="0.35">
      <c r="A24" s="57" t="str">
        <v>Sharepoint list agent</v>
      </c>
      <c r="B24" s="51" t="str">
        <v>SharePoint</v>
      </c>
      <c r="C24" s="37" t="str">
        <v>Agent spécialisé dans la gestion des listes SharePoint : création, mise à jour, requêtes et automatisation.</v>
      </c>
      <c r="D24" s="37" t="str">
        <v>Crée une liste de suivi des projets
Filtre les éléments où [condition]
Ajoute une colonne calculée pour [objectif]</v>
      </c>
      <c r="E24" s="37" t="str">
        <v>Pour gérer des données structurées dans SharePoint sans connaître les formules.</v>
      </c>
    </row>
    <row r="25" spans="1:5" ht="72.5" x14ac:dyDescent="0.35">
      <c r="A25" s="57" t="str">
        <v>SME Finder</v>
      </c>
      <c r="B25" s="51" t="str">
        <v>Viva / Graph</v>
      </c>
      <c r="C25" s="37" t="str">
        <v>Agent qui identifie les experts (Subject Matter Experts) dans l'organisation sur un sujet donné, basé sur leurs contributions et interactions.</v>
      </c>
      <c r="D25" s="37" t="str">
        <v>Qui est expert en [domaine] dans l'entreprise ?
Trouve quelqu'un qui peut m'aider sur [problème technique]
Quels collègues ont travaillé sur des projets similaires ?</v>
      </c>
      <c r="E25" s="37" t="str">
        <v>Pour trouver rapidement la bonne personne à contacter sur un sujet spécifique.</v>
      </c>
    </row>
    <row r="26" spans="1:5" ht="43.5" x14ac:dyDescent="0.35">
      <c r="A26" s="57" t="str">
        <v>Sondage</v>
      </c>
      <c r="B26" s="51" t="str">
        <v>Microsoft Forms</v>
      </c>
      <c r="C26" s="37" t="str">
        <v>Agent qui aide à créer des sondages, questionnaires et formulaires de feedback, puis à analyser les résultats.</v>
      </c>
      <c r="D26" s="37" t="str">
        <v>Crée un sondage de satisfaction client
Génère un questionnaire d'évaluation de formation
Analyse les réponses de mon dernier sondage</v>
      </c>
      <c r="E26" s="37" t="str">
        <v>Pour collecter des feedbacks et opinions de manière structurée.</v>
      </c>
    </row>
    <row r="27" spans="1:5" ht="43.5" x14ac:dyDescent="0.35">
      <c r="A27" s="57" t="str">
        <v>Word</v>
      </c>
      <c r="B27" s="51" t="str">
        <v>Word</v>
      </c>
      <c r="C27" s="37" t="str">
        <v>Agent intégré à Word qui aide à rédiger, reformuler, résumer et structurer des documents professionnels.</v>
      </c>
      <c r="D27" s="37" t="str">
        <v>Rédige une proposition commerciale pour [client]
Résume ce document en 3 paragraphes
Reformule ce texte pour un ton plus formel</v>
      </c>
      <c r="E27" s="37" t="str">
        <v>Pour accélérer la rédaction et améliorer la qualité de vos documents.</v>
      </c>
    </row>
    <row r="28" spans="1:5" ht="116" x14ac:dyDescent="0.35">
      <c r="A28" s="57" t="str">
        <v>Writing Coach</v>
      </c>
      <c r="B28" s="51" t="str">
        <v>Word / Copilot Chat</v>
      </c>
      <c r="C28" s="37" t="str">
        <v>Fournit des commentaires sur la qualité de l’écriture, en mettant l’accent sur la clarté, la cohérence, la grammaire, le ton et le ciblage de l’audience.</v>
      </c>
      <c r="D28" s="37" t="str">
        <v>Passez en revue ce paragraphe pour plus de clarté et de cohérence : []
Suggérer des façons de rendre ce résumé plus approprié pour un public non technique : []
Identifiez les problèmes de tonalité dans la section suivante et proposez des corrections : []
Comment puis-je améliorer la structure de cette conclusion ? []</v>
      </c>
      <c r="E28" s="37" t="str">
        <v>Utilisez cet agent comme dernière étape de révision après la modification de votre document.</v>
      </c>
    </row>
    <row r="29" spans="1:5" ht="58" x14ac:dyDescent="0.35">
      <c r="A29" s="57" t="str">
        <v>🚀 Finance (Frontier)</v>
      </c>
      <c r="B29" s="51" t="str">
        <v>Dynamics 365 Finance</v>
      </c>
      <c r="C29" s="37" t="str">
        <v>Agent avancé (Frontier) financier qui aide à analyser les données comptables, préparer des rapports et identifier des anomalies.</v>
      </c>
      <c r="D29" s="37" t="str">
        <v>Résume la situation financière du mois
Quelles sont les variances budgétaires significatives ?
Prépare un rapport de clôture mensuelle</v>
      </c>
      <c r="E29" s="37" t="str">
        <v>Pour les équipes finance qui veulent automatiser l'analyse et le reporting. (Frontier)</v>
      </c>
    </row>
    <row r="30" spans="1:5" ht="58" x14ac:dyDescent="0.35">
      <c r="A30" s="57" t="str">
        <v>🚀 Sales Development (Frontier)</v>
      </c>
      <c r="B30" s="51" t="str">
        <v>Dynamics 365 Sales</v>
      </c>
      <c r="C30" s="37" t="str">
        <v>Agent avancé (Frontier) de développement commercial qui aide à qualifier les leads, personnaliser les approches et optimiser le pipeline.</v>
      </c>
      <c r="D30" s="37" t="str">
        <v>Qualifie ce lead selon nos critères
Suggère une approche personnalisée pour [prospect]
Quels leads prioriser cette semaine ?</v>
      </c>
      <c r="E30" s="37" t="str">
        <v>Pour les équipes SDR/BDR qui veulent améliorer leur taux de conversion. (Frontier)</v>
      </c>
    </row>
    <row r="31" spans="1:5" ht="72.5" x14ac:dyDescent="0.35">
      <c r="A31" s="57" t="str">
        <v>🚀 Workflows (Frontier)</v>
      </c>
      <c r="B31" s="51" t="str">
        <v>Power Automate</v>
      </c>
      <c r="C31" s="37" t="str">
        <v>Agent avancé (Frontier) qui aide à créer et gérer des workflows automatisés connectant plusieurs applications M365.</v>
      </c>
      <c r="D31" s="37" t="str">
        <v>Crée un workflow quand je reçois un email de [source]
Automatise l'approbation des demandes de congés
Notifie l'équipe quand un fichier est modifié</v>
      </c>
      <c r="E31" s="37" t="str">
        <v>Pour automatiser des processus métier récurrents. (Agent Frontier = fonctionnalités avancées)</v>
      </c>
    </row>
    <row r="32" spans="1:5" ht="15" customHeight="1" x14ac:dyDescent="0.35">
      <c r="A32" s="32" t="str">
        <v>🚀 Workforce Insight (Frontier)</v>
      </c>
      <c r="B32" s="32" t="str">
        <v>Viva Insights</v>
      </c>
      <c r="C32" s="32" t="str">
        <v>Agent avancé (Frontier) d'analyse RH qui fournit des insights sur le bien-être, la collaboration et la productivité des équipes.</v>
      </c>
      <c r="D32" s="32" t="str">
        <v>Comment se porte le moral de mon équipe ?
Quels sont les patterns de collaboration ?
Identifie les risques de surcharge de travail</v>
      </c>
      <c r="E32" s="32" t="str">
        <v>Pour les managers qui veulent suivre le bien-être et l'efficacité de leur équipe. (Frontier)</v>
      </c>
    </row>
    <row r="33" spans="1:5" ht="15" customHeight="1" x14ac:dyDescent="0.35">
      <c r="A33" s="32"/>
      <c r="B33" s="32"/>
      <c r="C33" s="32"/>
      <c r="D33" s="32"/>
      <c r="E33" s="32"/>
    </row>
    <row r="34" spans="1:5" ht="15" customHeight="1" x14ac:dyDescent="0.35">
      <c r="A34" s="32"/>
      <c r="B34" s="32"/>
      <c r="C34" s="32"/>
      <c r="D34" s="32"/>
      <c r="E34" s="32"/>
    </row>
    <row r="35" spans="1:5" ht="22" customHeight="1" x14ac:dyDescent="0.35">
      <c r="A35" s="102" t="s">
        <v>694</v>
      </c>
      <c r="B35" s="102"/>
      <c r="C35" s="102"/>
      <c r="D35" s="102"/>
      <c r="E35" s="102"/>
    </row>
    <row r="36" spans="1:5" ht="15" customHeight="1" x14ac:dyDescent="0.35">
      <c r="A36" s="32"/>
      <c r="B36" s="32"/>
      <c r="C36" s="32"/>
      <c r="D36" s="32"/>
      <c r="E36" s="32"/>
    </row>
    <row r="37" spans="1:5" x14ac:dyDescent="0.35">
      <c r="A37" s="32" t="s">
        <v>14</v>
      </c>
      <c r="B37" s="32" t="s">
        <v>97</v>
      </c>
      <c r="C37" s="32" t="s">
        <v>1</v>
      </c>
      <c r="D37" s="32" t="s">
        <v>116</v>
      </c>
      <c r="E37" s="32" t="s">
        <v>77</v>
      </c>
    </row>
    <row r="38" spans="1:5" ht="80" customHeight="1" x14ac:dyDescent="0.35">
      <c r="A38" s="33" t="s">
        <v>75</v>
      </c>
      <c r="B38" s="33" t="s">
        <v>200</v>
      </c>
      <c r="C38" s="33" t="s">
        <v>117</v>
      </c>
      <c r="D38" s="33" t="s">
        <v>118</v>
      </c>
      <c r="E38" s="33" t="s">
        <v>78</v>
      </c>
    </row>
    <row r="39" spans="1:5" ht="80" customHeight="1" x14ac:dyDescent="0.35">
      <c r="A39" s="33" t="s">
        <v>76</v>
      </c>
      <c r="B39" s="33" t="s">
        <v>201</v>
      </c>
      <c r="C39" s="33" t="s">
        <v>120</v>
      </c>
      <c r="D39" s="33" t="s">
        <v>119</v>
      </c>
      <c r="E39" s="33" t="s">
        <v>79</v>
      </c>
    </row>
    <row r="40" spans="1:5" ht="80" customHeight="1" x14ac:dyDescent="0.35">
      <c r="A40" s="33" t="s">
        <v>98</v>
      </c>
      <c r="B40" s="33" t="s">
        <v>121</v>
      </c>
      <c r="C40" s="33" t="s">
        <v>122</v>
      </c>
      <c r="D40" s="33" t="s">
        <v>123</v>
      </c>
      <c r="E40" s="33" t="s">
        <v>124</v>
      </c>
    </row>
    <row r="41" spans="1:5" ht="80" customHeight="1" x14ac:dyDescent="0.35">
      <c r="A41" s="33" t="s">
        <v>99</v>
      </c>
      <c r="B41" s="33" t="s">
        <v>125</v>
      </c>
      <c r="C41" s="33" t="s">
        <v>126</v>
      </c>
      <c r="D41" s="33" t="s">
        <v>127</v>
      </c>
      <c r="E41" s="33" t="s">
        <v>128</v>
      </c>
    </row>
    <row r="42" spans="1:5" ht="80" customHeight="1" x14ac:dyDescent="0.35">
      <c r="A42" s="33" t="s">
        <v>100</v>
      </c>
      <c r="B42" s="33" t="s">
        <v>85</v>
      </c>
      <c r="C42" s="33" t="s">
        <v>129</v>
      </c>
      <c r="D42" s="33" t="s">
        <v>130</v>
      </c>
      <c r="E42" s="33" t="s">
        <v>131</v>
      </c>
    </row>
    <row r="43" spans="1:5" ht="80" customHeight="1" x14ac:dyDescent="0.35">
      <c r="A43" s="33" t="s">
        <v>101</v>
      </c>
      <c r="B43" s="33" t="s">
        <v>132</v>
      </c>
      <c r="C43" s="33" t="s">
        <v>133</v>
      </c>
      <c r="D43" s="33" t="s">
        <v>134</v>
      </c>
      <c r="E43" s="33" t="s">
        <v>135</v>
      </c>
    </row>
    <row r="44" spans="1:5" ht="80" customHeight="1" x14ac:dyDescent="0.35">
      <c r="A44" s="33" t="s">
        <v>102</v>
      </c>
      <c r="B44" s="33" t="s">
        <v>102</v>
      </c>
      <c r="C44" s="33" t="s">
        <v>136</v>
      </c>
      <c r="D44" s="33" t="s">
        <v>137</v>
      </c>
      <c r="E44" s="33" t="s">
        <v>138</v>
      </c>
    </row>
    <row r="45" spans="1:5" ht="80" customHeight="1" x14ac:dyDescent="0.35">
      <c r="A45" s="33" t="s">
        <v>103</v>
      </c>
      <c r="B45" s="33" t="s">
        <v>139</v>
      </c>
      <c r="C45" s="33" t="s">
        <v>140</v>
      </c>
      <c r="D45" s="33" t="s">
        <v>141</v>
      </c>
      <c r="E45" s="33" t="s">
        <v>142</v>
      </c>
    </row>
    <row r="46" spans="1:5" ht="80" customHeight="1" x14ac:dyDescent="0.35">
      <c r="A46" s="33" t="s">
        <v>104</v>
      </c>
      <c r="B46" s="33" t="s">
        <v>143</v>
      </c>
      <c r="C46" s="33" t="s">
        <v>144</v>
      </c>
      <c r="D46" s="33" t="s">
        <v>145</v>
      </c>
      <c r="E46" s="33" t="s">
        <v>146</v>
      </c>
    </row>
    <row r="47" spans="1:5" ht="80" customHeight="1" x14ac:dyDescent="0.35">
      <c r="A47" s="33" t="s">
        <v>105</v>
      </c>
      <c r="B47" s="33" t="s">
        <v>105</v>
      </c>
      <c r="C47" s="33" t="s">
        <v>147</v>
      </c>
      <c r="D47" s="33" t="s">
        <v>148</v>
      </c>
      <c r="E47" s="33" t="s">
        <v>149</v>
      </c>
    </row>
    <row r="48" spans="1:5" ht="80" customHeight="1" x14ac:dyDescent="0.35">
      <c r="A48" s="33" t="s">
        <v>106</v>
      </c>
      <c r="B48" s="33" t="s">
        <v>106</v>
      </c>
      <c r="C48" s="33" t="s">
        <v>150</v>
      </c>
      <c r="D48" s="33" t="s">
        <v>151</v>
      </c>
      <c r="E48" s="33" t="s">
        <v>152</v>
      </c>
    </row>
    <row r="49" spans="1:5" ht="80" customHeight="1" x14ac:dyDescent="0.35">
      <c r="A49" s="33" t="s">
        <v>107</v>
      </c>
      <c r="B49" s="33" t="s">
        <v>132</v>
      </c>
      <c r="C49" s="33" t="s">
        <v>153</v>
      </c>
      <c r="D49" s="33" t="s">
        <v>154</v>
      </c>
      <c r="E49" s="33" t="s">
        <v>155</v>
      </c>
    </row>
    <row r="50" spans="1:5" ht="80" customHeight="1" x14ac:dyDescent="0.35">
      <c r="A50" s="33" t="s">
        <v>1126</v>
      </c>
      <c r="B50" s="33" t="s">
        <v>28</v>
      </c>
      <c r="C50" s="33" t="s">
        <v>156</v>
      </c>
      <c r="D50" s="33" t="s">
        <v>157</v>
      </c>
      <c r="E50" s="33" t="s">
        <v>158</v>
      </c>
    </row>
    <row r="51" spans="1:5" ht="80" customHeight="1" x14ac:dyDescent="0.35">
      <c r="A51" s="33" t="s">
        <v>108</v>
      </c>
      <c r="B51" s="33" t="s">
        <v>91</v>
      </c>
      <c r="C51" s="33" t="s">
        <v>159</v>
      </c>
      <c r="D51" s="33" t="s">
        <v>160</v>
      </c>
      <c r="E51" s="33" t="s">
        <v>161</v>
      </c>
    </row>
    <row r="52" spans="1:5" ht="80" customHeight="1" x14ac:dyDescent="0.35">
      <c r="A52" s="33" t="s">
        <v>109</v>
      </c>
      <c r="B52" s="33" t="s">
        <v>162</v>
      </c>
      <c r="C52" s="33" t="s">
        <v>163</v>
      </c>
      <c r="D52" s="33" t="s">
        <v>164</v>
      </c>
      <c r="E52" s="33" t="s">
        <v>165</v>
      </c>
    </row>
    <row r="53" spans="1:5" ht="80" customHeight="1" x14ac:dyDescent="0.35">
      <c r="A53" s="33" t="s">
        <v>110</v>
      </c>
      <c r="B53" s="33" t="s">
        <v>166</v>
      </c>
      <c r="C53" s="33" t="s">
        <v>167</v>
      </c>
      <c r="D53" s="33" t="s">
        <v>168</v>
      </c>
      <c r="E53" s="33" t="s">
        <v>169</v>
      </c>
    </row>
    <row r="54" spans="1:5" ht="80" customHeight="1" x14ac:dyDescent="0.35">
      <c r="A54" s="33" t="s">
        <v>111</v>
      </c>
      <c r="B54" s="33" t="s">
        <v>91</v>
      </c>
      <c r="C54" s="33" t="s">
        <v>170</v>
      </c>
      <c r="D54" s="33" t="s">
        <v>171</v>
      </c>
      <c r="E54" s="33" t="s">
        <v>172</v>
      </c>
    </row>
    <row r="55" spans="1:5" ht="80" customHeight="1" x14ac:dyDescent="0.35">
      <c r="A55" s="33" t="s">
        <v>112</v>
      </c>
      <c r="B55" s="33" t="s">
        <v>173</v>
      </c>
      <c r="C55" s="33" t="s">
        <v>174</v>
      </c>
      <c r="D55" s="33" t="s">
        <v>175</v>
      </c>
      <c r="E55" s="33" t="s">
        <v>176</v>
      </c>
    </row>
    <row r="56" spans="1:5" ht="80" customHeight="1" x14ac:dyDescent="0.35">
      <c r="A56" s="33" t="s">
        <v>1127</v>
      </c>
      <c r="B56" s="33" t="s">
        <v>177</v>
      </c>
      <c r="C56" s="33" t="s">
        <v>178</v>
      </c>
      <c r="D56" s="33" t="s">
        <v>179</v>
      </c>
      <c r="E56" s="33" t="s">
        <v>180</v>
      </c>
    </row>
    <row r="57" spans="1:5" ht="80" customHeight="1" x14ac:dyDescent="0.35">
      <c r="A57" s="33" t="s">
        <v>113</v>
      </c>
      <c r="B57" s="33" t="s">
        <v>181</v>
      </c>
      <c r="C57" s="33" t="s">
        <v>182</v>
      </c>
      <c r="D57" s="33" t="s">
        <v>183</v>
      </c>
      <c r="E57" s="33" t="s">
        <v>184</v>
      </c>
    </row>
    <row r="58" spans="1:5" ht="80" customHeight="1" x14ac:dyDescent="0.35">
      <c r="A58" s="33" t="s">
        <v>1128</v>
      </c>
      <c r="B58" s="33" t="s">
        <v>185</v>
      </c>
      <c r="C58" s="33" t="s">
        <v>186</v>
      </c>
      <c r="D58" s="33" t="s">
        <v>187</v>
      </c>
      <c r="E58" s="33" t="s">
        <v>188</v>
      </c>
    </row>
    <row r="59" spans="1:5" ht="80" customHeight="1" x14ac:dyDescent="0.35">
      <c r="A59" s="33" t="s">
        <v>114</v>
      </c>
      <c r="B59" s="33" t="s">
        <v>177</v>
      </c>
      <c r="C59" s="33" t="s">
        <v>189</v>
      </c>
      <c r="D59" s="33" t="s">
        <v>190</v>
      </c>
      <c r="E59" s="33" t="s">
        <v>191</v>
      </c>
    </row>
    <row r="60" spans="1:5" ht="80" customHeight="1" x14ac:dyDescent="0.35">
      <c r="A60" s="33" t="s">
        <v>115</v>
      </c>
      <c r="B60" s="33" t="s">
        <v>192</v>
      </c>
      <c r="C60" s="33" t="s">
        <v>193</v>
      </c>
      <c r="D60" s="33" t="s">
        <v>194</v>
      </c>
      <c r="E60" s="33" t="s">
        <v>195</v>
      </c>
    </row>
    <row r="61" spans="1:5" ht="80" customHeight="1" x14ac:dyDescent="0.35">
      <c r="A61" s="33" t="s">
        <v>1129</v>
      </c>
      <c r="B61" s="33" t="s">
        <v>196</v>
      </c>
      <c r="C61" s="33" t="s">
        <v>197</v>
      </c>
      <c r="D61" s="33" t="s">
        <v>198</v>
      </c>
      <c r="E61" s="33" t="s">
        <v>199</v>
      </c>
    </row>
    <row r="62" spans="1:5" ht="58" x14ac:dyDescent="0.35">
      <c r="A62" s="33" t="s">
        <v>1136</v>
      </c>
      <c r="B62" s="33" t="s">
        <v>1137</v>
      </c>
      <c r="C62" s="33" t="s">
        <v>1138</v>
      </c>
      <c r="D62" s="33" t="s">
        <v>1139</v>
      </c>
      <c r="E62" s="33" t="s">
        <v>1140</v>
      </c>
    </row>
  </sheetData>
  <autoFilter ref="A7:E7" xr:uid="{74CD6B6A-9C88-437B-9105-B87C9D5C1BBC}"/>
  <mergeCells count="5">
    <mergeCell ref="A2:E2"/>
    <mergeCell ref="A1:E1"/>
    <mergeCell ref="B4:E4"/>
    <mergeCell ref="A5:E5"/>
    <mergeCell ref="A35:E35"/>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EF49D-A432-4B07-A2EF-743F1979CAD8}">
  <sheetPr>
    <tabColor rgb="FF58FCEC"/>
  </sheetPr>
  <dimension ref="A1:D24"/>
  <sheetViews>
    <sheetView showGridLines="0" zoomScale="85" zoomScaleNormal="85" workbookViewId="0">
      <pane ySplit="7" topLeftCell="A8" activePane="bottomLeft" state="frozen"/>
      <selection activeCell="B1" sqref="B1"/>
      <selection pane="bottomLeft" activeCell="B4" sqref="B4:D4"/>
    </sheetView>
  </sheetViews>
  <sheetFormatPr baseColWidth="10" defaultRowHeight="14.5" x14ac:dyDescent="0.35"/>
  <cols>
    <col min="1" max="1" width="16.08984375" bestFit="1" customWidth="1"/>
    <col min="2" max="2" width="28.1796875" customWidth="1"/>
    <col min="3" max="3" width="38.1796875" customWidth="1"/>
    <col min="4" max="4" width="75.54296875" customWidth="1"/>
  </cols>
  <sheetData>
    <row r="1" spans="1:4" ht="36" customHeight="1" thickBot="1" x14ac:dyDescent="0.4">
      <c r="A1" s="103" t="s">
        <v>677</v>
      </c>
      <c r="B1" s="103"/>
      <c r="C1" s="103"/>
      <c r="D1" s="103"/>
    </row>
    <row r="2" spans="1:4" ht="30" customHeight="1" thickTop="1" x14ac:dyDescent="0.35">
      <c r="A2" s="104" t="s">
        <v>678</v>
      </c>
      <c r="B2" s="104"/>
      <c r="C2" s="104"/>
      <c r="D2" s="104"/>
    </row>
    <row r="3" spans="1:4" x14ac:dyDescent="0.35">
      <c r="A3" s="32"/>
      <c r="B3" s="32"/>
      <c r="C3" s="32"/>
      <c r="D3" s="32"/>
    </row>
    <row r="4" spans="1:4" ht="28" customHeight="1" x14ac:dyDescent="0.35">
      <c r="A4" s="43" t="s">
        <v>1112</v>
      </c>
      <c r="B4" s="105" t="s">
        <v>1274</v>
      </c>
      <c r="C4" s="122"/>
      <c r="D4" s="106"/>
    </row>
    <row r="5" spans="1:4" ht="32" customHeight="1" x14ac:dyDescent="0.35">
      <c r="A5" s="107" t="s">
        <v>679</v>
      </c>
      <c r="B5" s="107"/>
      <c r="C5" s="107"/>
      <c r="D5" s="107"/>
    </row>
    <row r="6" spans="1:4" x14ac:dyDescent="0.35">
      <c r="A6" s="32"/>
      <c r="B6" s="32"/>
      <c r="C6" s="32"/>
      <c r="D6" s="32"/>
    </row>
    <row r="7" spans="1:4" x14ac:dyDescent="0.35">
      <c r="A7" s="46" t="s">
        <v>680</v>
      </c>
      <c r="B7" s="45" t="s">
        <v>681</v>
      </c>
      <c r="C7" s="45" t="s">
        <v>682</v>
      </c>
      <c r="D7" s="47" t="s">
        <v>683</v>
      </c>
    </row>
    <row r="8" spans="1:4" ht="72.5" x14ac:dyDescent="0.35">
      <c r="A8" s="49" cm="1">
        <f t="array" ref="A8:D13">_xlfn.LET(_xlpm.q,LOWER(TRIM($B$4)),_xlpm.data,'Usages &amp; Solutions'!$A$6:$V$22,_xlpm.cats,'Usages &amp; Solutions'!$A$6:$A$22,_xlpm.intents,'Usages &amp; Solutions'!$B$6:$B$22,_xlpm.solutionText,'Usages &amp; Solutions'!$V$6:$V$22,_xlpm.words,_xlfn._xlws.FILTER(_xlfn.TEXTSPLIT(_xlpm.q," "),_xlfn.TEXTSPLIT(_xlpm.q," ")&lt;&gt;""),_xlpm.hay,_xlfn.BYROW(_xlpm.data,_xlfn.LAMBDA(_xlpm.r,LOWER(_xlfn.TEXTJOIN(" ",TRUE,_xlpm.r)))),_xlpm.scores,_xlfn.MAP(_xlpm.hay,_xlfn.LAMBDA(_xlpm.x,SUM(--ISNUMBER(SEARCH(_xlpm.words,_xlpm.x))))),_xlpm.result,_xlfn.HSTACK(_xlpm.scores,_xlpm.cats,_xlpm.intents,_xlpm.solutionText),IF(_xlpm.q="","Saisissez votre besoin ci-dessus",IF(SUM(--(_xlpm.scores&gt;0))=0,"Aucun résultat : essayez des mots plus simples ou un synonyme",_xlfn.SORTBY(_xlfn._xlws.FILTER(_xlpm.result,_xlpm.scores&gt;0),_xlfn._xlws.FILTER(_xlpm.scores,_xlpm.scores&gt;0),-1))))</f>
        <v>1</v>
      </c>
      <c r="B8" s="51" t="str">
        <v>🧭 Assistance au travail quotidien</v>
      </c>
      <c r="C8" s="37" t="str">
        <v>🎯 L’IA accompagne le travail quotidien : rédaction, recherche, documents, présentations, tableaux et données d’entreprise. Exemples de capacités spécifiques : Copilot Cowork chez Microsoft et ChatGPT Work chez OpenAI.</v>
      </c>
      <c r="D8" s="37" t="str">
        <v>🏷️ Microsoft 365 Copilot (Chat + Copilot Cowork) • 🏷️ Claude for Work • 🏷️ ChatGPT Work (inclus avec ChatGPT Business / Enterprise) • 🏷️ Gemini for Workspace • 🏷️ Einstein Copilot • 🏷️ Now Assist • 🏷️ Joule • 🏷️ Oracle AI Digital Assistant • 🏷️ Atlassian Rovo • 🏷️ Le Chat Enterprise • 🏷️ Coral Enterprise</v>
      </c>
    </row>
    <row r="9" spans="1:4" ht="348" x14ac:dyDescent="0.35">
      <c r="A9" s="49">
        <v>1</v>
      </c>
      <c r="B9" s="51" t="str">
        <v>🔎 REPÈRE TRANSVERSAL — éditeur / écosystème IA</v>
      </c>
      <c r="C9" s="37" t="str">
        <v>🎯 Je comprends le positionnement de l'entreprise et ses principales technologies IA</v>
      </c>
      <c r="D9" s="37" t="str">
        <v>🏷️ Écosystème cloud et productivité : Microsoft 365 Copilot, Copilot Studio, Microsoft Foundry / Azure AI • 🏷️ Entreprise de modèles axée sécurité : Claude, Claude API, Claude Code, MCP • 🏷️ OpenAI : GPT, ChatGPT Work, ChatGPT agent, Workspace agents, Codex, API / Responses API, Agents SDK et OpenAI Frontier • 🏷️ Google / DeepMind : Gemini, Vertex AI, Google AI Studio, IA dans Workspace • 🏷️ Moteur de réponses et recherche IA : Perplexity, Enterprise Pro, Sonar API • 🏷️ CRM et agents d'entreprise : Agentforce, Einstein, Data Cloud • 🏷️ Plateforme de workflows d'entreprise : Now Platform, Now Assist, AI Agent Studio • 🏷️ IA pour ERP et processus métier : SAP Business AI, Joule, SAP AI Core • 🏷️ Cloud, bases de données et applications métier : OCI Generative AI, Oracle Database AI, Digital Assistant • 🏷️ Collaboration et gestion du travail : Rovo, Atlassian Intelligence, Jira, Confluence • 🏷️ Cloud et IA générative : Amazon Bedrock, SageMaker, Amazon Q • 🏷️ IA d'entreprise hybride : watsonx.ai, watsonx.data, watsonx.governance, watsonx Orchestrate • 🏷️ Modèles ouverts et produits grand public : Llama, Meta AI, Llama Stack • 🏷️ Entreprise européenne de modèles : Mistral, Le Chat, La Plateforme • 🏷️ IA d'entreprise et RAG : Command, Embed, Rerank, North • 🏷️ Plateforme communautaire open source : Models, Datasets, Spaces, Inference • 🏷️ Automatisation open source : workflows, AI nodes, agents et déploiement self-hosted • 🏷️ Automatisation visuelle : Make AI Agents et modules IA • 🏷️ Automatisation no-code : Zapier AI, Agents, Chatbots et AI Actions</v>
      </c>
    </row>
    <row r="10" spans="1:4" ht="58" x14ac:dyDescent="0.35">
      <c r="A10" s="49">
        <v>1</v>
      </c>
      <c r="B10" s="51" t="str">
        <v>🧭 Agent Builder no-code</v>
      </c>
      <c r="C10" s="37" t="str">
        <v>🎯 Je crée des agents spécialisés pour mon équipe</v>
      </c>
      <c r="D10" s="37" t="str">
        <v>🏷️ Copilot Agent Builder • 🏷️ ❌ Pas d'équivalent direct • 🏷️ GPTs personnalisés / Workspace agents • 🏷️ Vertex AI Agent Builder • 🏷️ Agentforce • 🏷️ AI Agent Studio • 🏷️ Bedrock Agents • 🏷️ watsonx Assistant • 🏷️ Spaces • 🏷️ Zapier Chatbots</v>
      </c>
    </row>
    <row r="11" spans="1:4" ht="72.5" x14ac:dyDescent="0.35">
      <c r="A11" s="49">
        <v>1</v>
      </c>
      <c r="B11" s="51" t="str">
        <v>🧭 Gestion documentaire / GED</v>
      </c>
      <c r="C11" s="37" t="str">
        <v>🎯 Je stocke, partage et gère les documents de mon équipe</v>
      </c>
      <c r="D11" s="37" t="str">
        <v>🏷️ SharePoint • 🏷️ Google Drive • 🏷️ Salesforce Files • 🏷️ SAP Document Management • 🏷️ Oracle Content Management • 🏷️ Confluence • 🏷️ Amazon S3 • 🏷️ IBM FileNet • 🏷️ Hub</v>
      </c>
    </row>
    <row r="12" spans="1:4" ht="72.5" x14ac:dyDescent="0.35">
      <c r="A12" s="49">
        <v>1</v>
      </c>
      <c r="B12" s="51" t="str">
        <v>🧭 Collaboration / Communication</v>
      </c>
      <c r="C12" s="37" t="str">
        <v>🎯 Je communique et collabore avec mon équipe en temps réel</v>
      </c>
      <c r="D12" s="37" t="str">
        <v>🏷️ Teams • 🏷️ Google Chat / Meet • 🏷️ Slack (Salesforce) • 🏷️ SAP Jam • 🏷️ Confluence / Jira • 🏷️ Amazon Chime • 🏷️ WhatsApp AI</v>
      </c>
    </row>
    <row r="13" spans="1:4" ht="43.5" x14ac:dyDescent="0.35">
      <c r="A13" s="49">
        <v>1</v>
      </c>
      <c r="B13" s="51" t="str">
        <v>🧭 Sécurité / Gouvernance IA</v>
      </c>
      <c r="C13" s="37" t="str">
        <v>🎯 Je sécurise et gouverne l'usage de l'IA dans mon organisation</v>
      </c>
      <c r="D13" s="37" t="str">
        <v>🏷️ Microsoft Purview / Entra • 🏷️ Claude Admin Console • 🏷️ Contrôles admin ChatGPT / OpenAI Frontier • 🏷️ Vertex AI Governance • 🏷️ Salesforce Shield + Einstein Trust • 🏷️ SAP AI Core Governance • 🏷️ Atlassian Guard • 🏷️ Amazon Bedrock Guardrails • 🏷️ watsonx.governance • 🏷️ Llama Guard</v>
      </c>
    </row>
    <row r="14" spans="1:4" ht="29" x14ac:dyDescent="0.35">
      <c r="A14" s="49"/>
      <c r="B14" s="51"/>
      <c r="C14" s="37"/>
      <c r="D14" s="37"/>
    </row>
    <row r="15" spans="1:4" x14ac:dyDescent="0.35">
      <c r="A15" s="50"/>
      <c r="B15" s="52"/>
      <c r="C15" s="48"/>
      <c r="D15" s="48"/>
    </row>
    <row r="16" spans="1:4" x14ac:dyDescent="0.35">
      <c r="A16" s="50"/>
      <c r="B16" s="52"/>
      <c r="C16" s="48"/>
      <c r="D16" s="48"/>
    </row>
    <row r="17" spans="1:4" x14ac:dyDescent="0.35">
      <c r="A17" s="50"/>
      <c r="B17" s="52"/>
      <c r="C17" s="48"/>
      <c r="D17" s="48"/>
    </row>
    <row r="18" spans="1:4" x14ac:dyDescent="0.35">
      <c r="A18" s="50"/>
      <c r="B18" s="52"/>
      <c r="C18" s="48"/>
      <c r="D18" s="48"/>
    </row>
    <row r="19" spans="1:4" x14ac:dyDescent="0.35">
      <c r="A19" s="50"/>
      <c r="B19" s="52"/>
      <c r="C19" s="48"/>
      <c r="D19" s="48"/>
    </row>
    <row r="20" spans="1:4" x14ac:dyDescent="0.35">
      <c r="A20" s="50"/>
      <c r="B20" s="52"/>
      <c r="C20" s="48"/>
      <c r="D20" s="48"/>
    </row>
    <row r="21" spans="1:4" x14ac:dyDescent="0.35">
      <c r="A21" s="50"/>
      <c r="B21" s="52"/>
      <c r="C21" s="48"/>
      <c r="D21" s="48"/>
    </row>
    <row r="22" spans="1:4" x14ac:dyDescent="0.35">
      <c r="A22" s="50"/>
      <c r="B22" s="52"/>
      <c r="C22" s="48"/>
      <c r="D22" s="48"/>
    </row>
    <row r="23" spans="1:4" x14ac:dyDescent="0.35">
      <c r="A23" s="50"/>
      <c r="B23" s="52"/>
      <c r="C23" s="48"/>
      <c r="D23" s="48"/>
    </row>
    <row r="24" spans="1:4" x14ac:dyDescent="0.35">
      <c r="A24" s="50"/>
      <c r="B24" s="52"/>
      <c r="C24" s="48"/>
      <c r="D24" s="48"/>
    </row>
  </sheetData>
  <mergeCells count="4">
    <mergeCell ref="A1:D1"/>
    <mergeCell ref="A2:D2"/>
    <mergeCell ref="B4:D4"/>
    <mergeCell ref="A5:D5"/>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D6B56-9592-46CB-BA0C-C609845A1E7C}">
  <sheetPr>
    <tabColor rgb="FF58FCEC"/>
  </sheetPr>
  <dimension ref="A1:V22"/>
  <sheetViews>
    <sheetView showGridLines="0" workbookViewId="0">
      <pane ySplit="5" topLeftCell="A6" activePane="bottomLeft" state="frozen"/>
      <selection pane="bottomLeft" activeCell="A3" sqref="A3:U3"/>
    </sheetView>
  </sheetViews>
  <sheetFormatPr baseColWidth="10" defaultRowHeight="14.5" x14ac:dyDescent="0.35"/>
  <cols>
    <col min="1" max="1" width="28.1796875" customWidth="1"/>
    <col min="2" max="2" width="38.1796875" style="1" customWidth="1"/>
    <col min="3" max="14" width="25.453125" style="1" customWidth="1"/>
    <col min="15" max="21" width="25.453125" customWidth="1"/>
    <col min="22" max="22" width="21.7265625" customWidth="1"/>
  </cols>
  <sheetData>
    <row r="1" spans="1:22" ht="36" customHeight="1" thickBot="1" x14ac:dyDescent="0.4">
      <c r="A1" s="103" t="s">
        <v>459</v>
      </c>
      <c r="B1" s="103"/>
      <c r="C1" s="103"/>
      <c r="D1" s="103"/>
      <c r="E1" s="103"/>
      <c r="F1" s="103"/>
      <c r="G1" s="103"/>
      <c r="H1" s="103"/>
      <c r="I1" s="103"/>
      <c r="J1" s="103"/>
      <c r="K1" s="103"/>
      <c r="L1" s="103"/>
      <c r="M1" s="103"/>
      <c r="N1" s="103"/>
      <c r="O1" s="103"/>
      <c r="P1" s="103"/>
      <c r="Q1" s="103"/>
      <c r="R1" s="103"/>
      <c r="S1" s="103"/>
      <c r="T1" s="103"/>
      <c r="U1" s="103"/>
      <c r="V1" s="34"/>
    </row>
    <row r="2" spans="1:22" ht="30" customHeight="1" thickTop="1" x14ac:dyDescent="0.35">
      <c r="A2" s="104" t="s">
        <v>460</v>
      </c>
      <c r="B2" s="104"/>
      <c r="C2" s="104"/>
      <c r="D2" s="104"/>
      <c r="E2" s="104"/>
      <c r="F2" s="104"/>
      <c r="G2" s="104"/>
      <c r="H2" s="104"/>
      <c r="I2" s="104"/>
      <c r="J2" s="104"/>
      <c r="K2" s="104"/>
      <c r="L2" s="104"/>
      <c r="M2" s="104"/>
      <c r="N2" s="104"/>
      <c r="O2" s="104"/>
      <c r="P2" s="104"/>
      <c r="Q2" s="104"/>
      <c r="R2" s="104"/>
      <c r="S2" s="104"/>
      <c r="T2" s="104"/>
      <c r="U2" s="104"/>
      <c r="V2" s="35"/>
    </row>
    <row r="3" spans="1:22" x14ac:dyDescent="0.35">
      <c r="A3" s="123" t="s">
        <v>652</v>
      </c>
      <c r="B3" s="123"/>
      <c r="C3" s="123"/>
      <c r="D3" s="123"/>
      <c r="E3" s="123"/>
      <c r="F3" s="123"/>
      <c r="G3" s="123"/>
      <c r="H3" s="123"/>
      <c r="I3" s="123"/>
      <c r="J3" s="123"/>
      <c r="K3" s="123"/>
      <c r="L3" s="123"/>
      <c r="M3" s="123"/>
      <c r="N3" s="123"/>
      <c r="O3" s="123"/>
      <c r="P3" s="123"/>
      <c r="Q3" s="123"/>
      <c r="R3" s="123"/>
      <c r="S3" s="123"/>
      <c r="T3" s="123"/>
      <c r="U3" s="123"/>
      <c r="V3" s="41"/>
    </row>
    <row r="4" spans="1:22" x14ac:dyDescent="0.35">
      <c r="A4" s="32"/>
      <c r="B4" s="33"/>
      <c r="C4" s="33"/>
      <c r="D4" s="33"/>
      <c r="E4" s="33"/>
      <c r="F4" s="33"/>
      <c r="G4" s="33"/>
      <c r="H4" s="33"/>
      <c r="I4" s="33"/>
      <c r="J4" s="33"/>
      <c r="K4" s="33"/>
      <c r="L4" s="33"/>
      <c r="M4" s="33"/>
      <c r="N4" s="33"/>
      <c r="O4" s="32"/>
      <c r="P4" s="32"/>
      <c r="Q4" s="32"/>
      <c r="R4" s="32"/>
      <c r="S4" s="32"/>
      <c r="T4" s="32"/>
      <c r="U4" s="32"/>
      <c r="V4" s="32"/>
    </row>
    <row r="5" spans="1:22" ht="32" customHeight="1" x14ac:dyDescent="0.35">
      <c r="A5" s="44" t="s">
        <v>461</v>
      </c>
      <c r="B5" s="44" t="s">
        <v>462</v>
      </c>
      <c r="C5" s="44" t="s">
        <v>463</v>
      </c>
      <c r="D5" s="44" t="s">
        <v>464</v>
      </c>
      <c r="E5" s="44" t="s">
        <v>465</v>
      </c>
      <c r="F5" s="44" t="s">
        <v>466</v>
      </c>
      <c r="G5" s="44" t="s">
        <v>467</v>
      </c>
      <c r="H5" s="44" t="s">
        <v>468</v>
      </c>
      <c r="I5" s="44" t="s">
        <v>469</v>
      </c>
      <c r="J5" s="44" t="s">
        <v>470</v>
      </c>
      <c r="K5" s="44" t="s">
        <v>471</v>
      </c>
      <c r="L5" s="44" t="s">
        <v>472</v>
      </c>
      <c r="M5" s="44" t="s">
        <v>473</v>
      </c>
      <c r="N5" s="44" t="s">
        <v>474</v>
      </c>
      <c r="O5" s="44" t="s">
        <v>475</v>
      </c>
      <c r="P5" s="44" t="s">
        <v>476</v>
      </c>
      <c r="Q5" s="44" t="s">
        <v>477</v>
      </c>
      <c r="R5" s="44" t="s">
        <v>478</v>
      </c>
      <c r="S5" s="44" t="s">
        <v>479</v>
      </c>
      <c r="T5" s="44" t="s">
        <v>480</v>
      </c>
      <c r="U5" s="44" t="s">
        <v>481</v>
      </c>
      <c r="V5" s="44" t="s">
        <v>684</v>
      </c>
    </row>
    <row r="6" spans="1:22" ht="116" x14ac:dyDescent="0.35">
      <c r="A6" s="66" t="s">
        <v>482</v>
      </c>
      <c r="B6" s="68" t="s">
        <v>483</v>
      </c>
      <c r="C6" s="33" t="s">
        <v>484</v>
      </c>
      <c r="D6" s="33" t="s">
        <v>485</v>
      </c>
      <c r="E6" s="33" t="s">
        <v>486</v>
      </c>
      <c r="F6" s="33" t="s">
        <v>487</v>
      </c>
      <c r="G6" s="33" t="s">
        <v>488</v>
      </c>
      <c r="H6" s="33" t="s">
        <v>93</v>
      </c>
      <c r="I6" s="33" t="s">
        <v>93</v>
      </c>
      <c r="J6" s="33" t="s">
        <v>93</v>
      </c>
      <c r="K6" s="33" t="s">
        <v>93</v>
      </c>
      <c r="L6" s="33" t="s">
        <v>93</v>
      </c>
      <c r="M6" s="33" t="s">
        <v>489</v>
      </c>
      <c r="N6" s="33" t="s">
        <v>93</v>
      </c>
      <c r="O6" s="33" t="s">
        <v>490</v>
      </c>
      <c r="P6" s="33" t="s">
        <v>491</v>
      </c>
      <c r="Q6" s="33" t="s">
        <v>492</v>
      </c>
      <c r="R6" s="33" t="s">
        <v>493</v>
      </c>
      <c r="S6" s="33" t="s">
        <v>93</v>
      </c>
      <c r="T6" s="33" t="s">
        <v>93</v>
      </c>
      <c r="U6" s="33" t="s">
        <v>93</v>
      </c>
      <c r="V6" s="33" t="str" cm="1">
        <f t="array" ref="V6">_xlfn.TEXTJOIN(" • ",TRUE,IF((C6:U6&lt;&gt;"—")*(C6:U6&lt;&gt;""),C6:U6,""))</f>
        <v>🏷️ Copilot Chat • 🏷️ Claude • 🏷️ ChatGPT • 🏷️ Gemini • 🏷️ Perplexity Assistant • 🏷️ Amazon Q • 🏷️ Meta AI / Llama • 🏷️ Le Chat • 🏷️ Coral • 🏷️ HuggingChat</v>
      </c>
    </row>
    <row r="7" spans="1:22" ht="217.5" x14ac:dyDescent="0.35">
      <c r="A7" s="66" t="s">
        <v>494</v>
      </c>
      <c r="B7" s="68" t="s">
        <v>664</v>
      </c>
      <c r="C7" s="33" t="s">
        <v>495</v>
      </c>
      <c r="D7" s="33" t="s">
        <v>496</v>
      </c>
      <c r="E7" s="33" t="s">
        <v>665</v>
      </c>
      <c r="F7" s="33" t="s">
        <v>497</v>
      </c>
      <c r="G7" s="33" t="s">
        <v>93</v>
      </c>
      <c r="H7" s="33" t="s">
        <v>498</v>
      </c>
      <c r="I7" s="33" t="s">
        <v>499</v>
      </c>
      <c r="J7" s="33" t="s">
        <v>500</v>
      </c>
      <c r="K7" s="33" t="s">
        <v>501</v>
      </c>
      <c r="L7" s="33" t="s">
        <v>502</v>
      </c>
      <c r="M7" s="33" t="s">
        <v>93</v>
      </c>
      <c r="N7" s="33" t="s">
        <v>93</v>
      </c>
      <c r="O7" s="33" t="s">
        <v>93</v>
      </c>
      <c r="P7" s="33" t="s">
        <v>503</v>
      </c>
      <c r="Q7" s="33" t="s">
        <v>504</v>
      </c>
      <c r="R7" s="33" t="s">
        <v>93</v>
      </c>
      <c r="S7" s="33" t="s">
        <v>93</v>
      </c>
      <c r="T7" s="33" t="s">
        <v>93</v>
      </c>
      <c r="U7" s="33" t="s">
        <v>93</v>
      </c>
      <c r="V7" s="33" t="str" cm="1">
        <f t="array" ref="V7">_xlfn.TEXTJOIN(" • ",TRUE,IF((C7:U7&lt;&gt;"—")*(C7:U7&lt;&gt;""),C7:U7,""))</f>
        <v>🏷️ Microsoft 365 Copilot (Chat + Copilot Cowork) • 🏷️ Claude for Work • 🏷️ ChatGPT Work (inclus avec ChatGPT Business / Enterprise) • 🏷️ Gemini for Workspace • 🏷️ Einstein Copilot • 🏷️ Now Assist • 🏷️ Joule • 🏷️ Oracle AI Digital Assistant • 🏷️ Atlassian Rovo • 🏷️ Le Chat Enterprise • 🏷️ Coral Enterprise</v>
      </c>
    </row>
    <row r="8" spans="1:22" ht="203" x14ac:dyDescent="0.35">
      <c r="A8" s="66" t="s">
        <v>653</v>
      </c>
      <c r="B8" s="68" t="s">
        <v>654</v>
      </c>
      <c r="C8" s="33" t="s">
        <v>655</v>
      </c>
      <c r="D8" s="33" t="s">
        <v>656</v>
      </c>
      <c r="E8" s="33" t="s">
        <v>657</v>
      </c>
      <c r="F8" s="33" t="s">
        <v>93</v>
      </c>
      <c r="G8" s="33" t="s">
        <v>93</v>
      </c>
      <c r="H8" s="33" t="s">
        <v>530</v>
      </c>
      <c r="I8" s="33" t="s">
        <v>658</v>
      </c>
      <c r="J8" s="33" t="s">
        <v>659</v>
      </c>
      <c r="K8" s="33" t="s">
        <v>660</v>
      </c>
      <c r="L8" s="33" t="s">
        <v>661</v>
      </c>
      <c r="M8" s="33" t="s">
        <v>662</v>
      </c>
      <c r="N8" s="33" t="s">
        <v>556</v>
      </c>
      <c r="O8" s="33" t="s">
        <v>93</v>
      </c>
      <c r="P8" s="33" t="s">
        <v>93</v>
      </c>
      <c r="Q8" s="33" t="s">
        <v>93</v>
      </c>
      <c r="R8" s="33" t="s">
        <v>93</v>
      </c>
      <c r="S8" s="33" t="s">
        <v>93</v>
      </c>
      <c r="T8" s="33" t="s">
        <v>93</v>
      </c>
      <c r="U8" s="33" t="s">
        <v>663</v>
      </c>
      <c r="V8" s="33" t="str" cm="1">
        <f t="array" ref="V8">_xlfn.TEXTJOIN(" • ",TRUE,IF((C8:U8&lt;&gt;"—")*(C8:U8&lt;&gt;""),C8:U8,""))</f>
        <v>🏷️ Copilot Cowork • 🏷️ Claude Cowork • 🏷️ ChatGPT agent / Workspace agents (dans ChatGPT Work) • 🏷️ Agentforce • 🏷️ Now Assist AI Agents • 🏷️ Joule Agents • 🏷️ Oracle AI Agents • 🏷️ Rovo Agents • 🏷️ Amazon Q / Bedrock Agents • 🏷️ watsonx Orchestrate • 🏷️ Zapier Agents</v>
      </c>
    </row>
    <row r="9" spans="1:22" ht="409.5" x14ac:dyDescent="0.35">
      <c r="A9" s="67" t="s">
        <v>505</v>
      </c>
      <c r="B9" s="69" t="s">
        <v>506</v>
      </c>
      <c r="C9" s="42" t="s">
        <v>507</v>
      </c>
      <c r="D9" s="42" t="s">
        <v>508</v>
      </c>
      <c r="E9" s="42" t="s">
        <v>666</v>
      </c>
      <c r="F9" s="42" t="s">
        <v>509</v>
      </c>
      <c r="G9" s="42" t="s">
        <v>510</v>
      </c>
      <c r="H9" s="42" t="s">
        <v>511</v>
      </c>
      <c r="I9" s="42" t="s">
        <v>512</v>
      </c>
      <c r="J9" s="42" t="s">
        <v>513</v>
      </c>
      <c r="K9" s="42" t="s">
        <v>514</v>
      </c>
      <c r="L9" s="42" t="s">
        <v>515</v>
      </c>
      <c r="M9" s="42" t="s">
        <v>516</v>
      </c>
      <c r="N9" s="42" t="s">
        <v>517</v>
      </c>
      <c r="O9" s="42" t="s">
        <v>518</v>
      </c>
      <c r="P9" s="42" t="s">
        <v>519</v>
      </c>
      <c r="Q9" s="42" t="s">
        <v>520</v>
      </c>
      <c r="R9" s="42" t="s">
        <v>521</v>
      </c>
      <c r="S9" s="42" t="s">
        <v>522</v>
      </c>
      <c r="T9" s="42" t="s">
        <v>523</v>
      </c>
      <c r="U9" s="42" t="s">
        <v>524</v>
      </c>
      <c r="V9" s="33" t="str" cm="1">
        <f t="array" ref="V9">_xlfn.TEXTJOIN(" • ",TRUE,IF((C9:U9&lt;&gt;"—")*(C9:U9&lt;&gt;""),C9:U9,""))</f>
        <v>🏷️ Écosystème cloud et productivité : Microsoft 365 Copilot, Copilot Studio, Microsoft Foundry / Azure AI • 🏷️ Entreprise de modèles axée sécurité : Claude, Claude API, Claude Code, MCP • 🏷️ OpenAI : GPT, ChatGPT Work, ChatGPT agent, Workspace agents, Codex, API / Responses API, Agents SDK et OpenAI Frontier • 🏷️ Google / DeepMind : Gemini, Vertex AI, Google AI Studio, IA dans Workspace • 🏷️ Moteur de réponses et recherche IA : Perplexity, Enterprise Pro, Sonar API • 🏷️ CRM et agents d'entreprise : Agentforce, Einstein, Data Cloud • 🏷️ Plateforme de workflows d'entreprise : Now Platform, Now Assist, AI Agent Studio • 🏷️ IA pour ERP et processus métier : SAP Business AI, Joule, SAP AI Core • 🏷️ Cloud, bases de données et applications métier : OCI Generative AI, Oracle Database AI, Digital Assistant • 🏷️ Collaboration et gestion du travail : Rovo, Atlassian Intelligence, Jira, Confluence • 🏷️ Cloud et IA générative : Amazon Bedrock, SageMaker, Amazon Q • 🏷️ IA d'entreprise hybride : watsonx.ai, watsonx.data, watsonx.governance, watsonx Orchestrate • 🏷️ Modèles ouverts et produits grand public : Llama, Meta AI, Llama Stack • 🏷️ Entreprise européenne de modèles : Mistral, Le Chat, La Plateforme • 🏷️ IA d'entreprise et RAG : Command, Embed, Rerank, North • 🏷️ Plateforme communautaire open source : Models, Datasets, Spaces, Inference • 🏷️ Automatisation open source : workflows, AI nodes, agents et déploiement self-hosted • 🏷️ Automatisation visuelle : Make AI Agents et modules IA • 🏷️ Automatisation no-code : Zapier AI, Agents, Chatbots et AI Actions</v>
      </c>
    </row>
    <row r="10" spans="1:22" ht="174" x14ac:dyDescent="0.35">
      <c r="A10" s="66" t="s">
        <v>525</v>
      </c>
      <c r="B10" s="68" t="s">
        <v>526</v>
      </c>
      <c r="C10" s="33" t="s">
        <v>527</v>
      </c>
      <c r="D10" s="33" t="s">
        <v>528</v>
      </c>
      <c r="E10" s="33" t="s">
        <v>667</v>
      </c>
      <c r="F10" s="33" t="s">
        <v>529</v>
      </c>
      <c r="G10" s="33" t="s">
        <v>93</v>
      </c>
      <c r="H10" s="33" t="s">
        <v>530</v>
      </c>
      <c r="I10" s="33" t="s">
        <v>531</v>
      </c>
      <c r="J10" s="33" t="s">
        <v>93</v>
      </c>
      <c r="K10" s="33" t="s">
        <v>93</v>
      </c>
      <c r="L10" s="33" t="s">
        <v>93</v>
      </c>
      <c r="M10" s="33" t="s">
        <v>532</v>
      </c>
      <c r="N10" s="33" t="s">
        <v>533</v>
      </c>
      <c r="O10" s="33" t="s">
        <v>93</v>
      </c>
      <c r="P10" s="33" t="s">
        <v>93</v>
      </c>
      <c r="Q10" s="33" t="s">
        <v>93</v>
      </c>
      <c r="R10" s="33" t="s">
        <v>534</v>
      </c>
      <c r="S10" s="33" t="s">
        <v>93</v>
      </c>
      <c r="T10" s="33" t="s">
        <v>93</v>
      </c>
      <c r="U10" s="33" t="s">
        <v>535</v>
      </c>
      <c r="V10" s="33" t="str" cm="1">
        <f t="array" ref="V10">_xlfn.TEXTJOIN(" • ",TRUE,IF((C10:U10&lt;&gt;"—")*(C10:U10&lt;&gt;""),C10:U10,""))</f>
        <v>🏷️ Copilot Agent Builder • 🏷️ ❌ Pas d'équivalent direct • 🏷️ GPTs personnalisés / Workspace agents • 🏷️ Vertex AI Agent Builder • 🏷️ Agentforce • 🏷️ AI Agent Studio • 🏷️ Bedrock Agents • 🏷️ watsonx Assistant • 🏷️ Spaces • 🏷️ Zapier Chatbots</v>
      </c>
    </row>
    <row r="11" spans="1:22" ht="130.5" x14ac:dyDescent="0.35">
      <c r="A11" s="66" t="s">
        <v>536</v>
      </c>
      <c r="B11" s="68" t="s">
        <v>537</v>
      </c>
      <c r="C11" s="33" t="s">
        <v>538</v>
      </c>
      <c r="D11" s="33" t="s">
        <v>528</v>
      </c>
      <c r="E11" s="33" t="s">
        <v>668</v>
      </c>
      <c r="F11" s="33" t="s">
        <v>529</v>
      </c>
      <c r="G11" s="33" t="s">
        <v>93</v>
      </c>
      <c r="H11" s="33" t="s">
        <v>530</v>
      </c>
      <c r="I11" s="33" t="s">
        <v>531</v>
      </c>
      <c r="J11" s="33" t="s">
        <v>93</v>
      </c>
      <c r="K11" s="33" t="s">
        <v>93</v>
      </c>
      <c r="L11" s="33" t="s">
        <v>93</v>
      </c>
      <c r="M11" s="33" t="s">
        <v>532</v>
      </c>
      <c r="N11" s="33" t="s">
        <v>533</v>
      </c>
      <c r="O11" s="33" t="s">
        <v>93</v>
      </c>
      <c r="P11" s="33" t="s">
        <v>93</v>
      </c>
      <c r="Q11" s="33" t="s">
        <v>93</v>
      </c>
      <c r="R11" s="33" t="s">
        <v>93</v>
      </c>
      <c r="S11" s="33" t="s">
        <v>93</v>
      </c>
      <c r="T11" s="33" t="s">
        <v>93</v>
      </c>
      <c r="U11" s="33" t="s">
        <v>93</v>
      </c>
      <c r="V11" s="33" t="str" cm="1">
        <f t="array" ref="V11">_xlfn.TEXTJOIN(" • ",TRUE,IF((C11:U11&lt;&gt;"—")*(C11:U11&lt;&gt;""),C11:U11,""))</f>
        <v>🏷️ Copilot Studio • 🏷️ ❌ Pas d'équivalent direct • 🏷️ Agent Builder / Responses API • 🏷️ Vertex AI Agent Builder • 🏷️ Agentforce • 🏷️ AI Agent Studio • 🏷️ Bedrock Agents • 🏷️ watsonx Assistant</v>
      </c>
    </row>
    <row r="12" spans="1:22" ht="217.5" x14ac:dyDescent="0.35">
      <c r="A12" s="66" t="s">
        <v>539</v>
      </c>
      <c r="B12" s="68" t="s">
        <v>540</v>
      </c>
      <c r="C12" s="33" t="s">
        <v>541</v>
      </c>
      <c r="D12" s="33" t="s">
        <v>542</v>
      </c>
      <c r="E12" s="33" t="s">
        <v>669</v>
      </c>
      <c r="F12" s="33" t="s">
        <v>529</v>
      </c>
      <c r="G12" s="33" t="s">
        <v>93</v>
      </c>
      <c r="H12" s="33" t="s">
        <v>530</v>
      </c>
      <c r="I12" s="33" t="s">
        <v>531</v>
      </c>
      <c r="J12" s="33" t="s">
        <v>93</v>
      </c>
      <c r="K12" s="33" t="s">
        <v>93</v>
      </c>
      <c r="L12" s="33" t="s">
        <v>93</v>
      </c>
      <c r="M12" s="33" t="s">
        <v>532</v>
      </c>
      <c r="N12" s="33" t="s">
        <v>533</v>
      </c>
      <c r="O12" s="33" t="s">
        <v>543</v>
      </c>
      <c r="P12" s="33" t="s">
        <v>544</v>
      </c>
      <c r="Q12" s="33" t="s">
        <v>545</v>
      </c>
      <c r="R12" s="33" t="s">
        <v>546</v>
      </c>
      <c r="S12" s="33" t="s">
        <v>93</v>
      </c>
      <c r="T12" s="33" t="s">
        <v>93</v>
      </c>
      <c r="U12" s="33" t="s">
        <v>93</v>
      </c>
      <c r="V12" s="33" t="str" cm="1">
        <f t="array" ref="V12">_xlfn.TEXTJOIN(" • ",TRUE,IF((C12:U12&lt;&gt;"—")*(C12:U12&lt;&gt;""),C12:U12,""))</f>
        <v>🏷️ Semantic Kernel / Copilot SDK • 🏷️ SDK Claude + MCP • 🏷️ Responses API / Agents SDK • 🏷️ Vertex AI Agent Builder • 🏷️ Agentforce • 🏷️ AI Agent Studio • 🏷️ Bedrock Agents • 🏷️ watsonx Assistant • 🏷️ Llama Stack • 🏷️ La Plateforme / API • 🏷️ Command API • 🏷️ Transformers / Inference API</v>
      </c>
    </row>
    <row r="13" spans="1:22" ht="232" x14ac:dyDescent="0.35">
      <c r="A13" s="66" t="s">
        <v>547</v>
      </c>
      <c r="B13" s="68" t="s">
        <v>548</v>
      </c>
      <c r="C13" s="33" t="s">
        <v>549</v>
      </c>
      <c r="D13" s="33" t="s">
        <v>93</v>
      </c>
      <c r="E13" s="33" t="s">
        <v>670</v>
      </c>
      <c r="F13" s="33" t="s">
        <v>93</v>
      </c>
      <c r="G13" s="33" t="s">
        <v>93</v>
      </c>
      <c r="H13" s="33" t="s">
        <v>550</v>
      </c>
      <c r="I13" s="33" t="s">
        <v>551</v>
      </c>
      <c r="J13" s="33" t="s">
        <v>552</v>
      </c>
      <c r="K13" s="33" t="s">
        <v>553</v>
      </c>
      <c r="L13" s="33" t="s">
        <v>554</v>
      </c>
      <c r="M13" s="33" t="s">
        <v>555</v>
      </c>
      <c r="N13" s="33" t="s">
        <v>556</v>
      </c>
      <c r="O13" s="33" t="s">
        <v>93</v>
      </c>
      <c r="P13" s="33" t="s">
        <v>93</v>
      </c>
      <c r="Q13" s="33" t="s">
        <v>93</v>
      </c>
      <c r="R13" s="33" t="s">
        <v>93</v>
      </c>
      <c r="S13" s="33" t="s">
        <v>557</v>
      </c>
      <c r="T13" s="33" t="s">
        <v>558</v>
      </c>
      <c r="U13" s="33" t="s">
        <v>559</v>
      </c>
      <c r="V13" s="33" t="str" cm="1">
        <f t="array" ref="V13">_xlfn.TEXTJOIN(" • ",TRUE,IF((C13:U13&lt;&gt;"—")*(C13:U13&lt;&gt;""),C13:U13,""))</f>
        <v>🏷️ Power Automate • 🏷️ ChatGPT Work / Workspace agents (tâches planifiées) • 🏷️ Flow Builder • 🏷️ Flow Designer • 🏷️ SAP Build Process Automation • 🏷️ Oracle Integration Cloud • 🏷️ Automation for Jira • 🏷️ AWS Step Functions • 🏷️ watsonx Orchestrate • 🏷️ N8N + AI nodes • 🏷️ Make + AI modules • 🏷️ Zapier + AI Actions</v>
      </c>
    </row>
    <row r="14" spans="1:22" ht="130.5" x14ac:dyDescent="0.35">
      <c r="A14" s="66" t="s">
        <v>560</v>
      </c>
      <c r="B14" s="68" t="s">
        <v>561</v>
      </c>
      <c r="C14" s="33" t="s">
        <v>562</v>
      </c>
      <c r="D14" s="33" t="s">
        <v>93</v>
      </c>
      <c r="E14" s="33" t="s">
        <v>93</v>
      </c>
      <c r="F14" s="33" t="s">
        <v>563</v>
      </c>
      <c r="G14" s="33" t="s">
        <v>93</v>
      </c>
      <c r="H14" s="33" t="s">
        <v>564</v>
      </c>
      <c r="I14" s="33" t="s">
        <v>565</v>
      </c>
      <c r="J14" s="33" t="s">
        <v>566</v>
      </c>
      <c r="K14" s="33" t="s">
        <v>567</v>
      </c>
      <c r="L14" s="33" t="s">
        <v>93</v>
      </c>
      <c r="M14" s="33" t="s">
        <v>568</v>
      </c>
      <c r="N14" s="33" t="s">
        <v>569</v>
      </c>
      <c r="O14" s="33" t="s">
        <v>93</v>
      </c>
      <c r="P14" s="33" t="s">
        <v>93</v>
      </c>
      <c r="Q14" s="33" t="s">
        <v>93</v>
      </c>
      <c r="R14" s="33" t="s">
        <v>93</v>
      </c>
      <c r="S14" s="33" t="s">
        <v>93</v>
      </c>
      <c r="T14" s="33" t="s">
        <v>93</v>
      </c>
      <c r="U14" s="33" t="s">
        <v>570</v>
      </c>
      <c r="V14" s="33" t="str" cm="1">
        <f t="array" ref="V14">_xlfn.TEXTJOIN(" • ",TRUE,IF((C14:U14&lt;&gt;"—")*(C14:U14&lt;&gt;""),C14:U14,""))</f>
        <v>🏷️ Dataverse • 🏷️ BigQuery • 🏷️ Salesforce Data Cloud • 🏷️ Now Platform Tables • 🏷️ SAP HANA • 🏷️ Oracle Database • 🏷️ Amazon DynamoDB • 🏷️ Db2 • 🏷️ Zapier Tables</v>
      </c>
    </row>
    <row r="15" spans="1:22" ht="145" x14ac:dyDescent="0.35">
      <c r="A15" s="66" t="s">
        <v>571</v>
      </c>
      <c r="B15" s="68" t="s">
        <v>572</v>
      </c>
      <c r="C15" s="33" t="s">
        <v>573</v>
      </c>
      <c r="D15" s="33" t="s">
        <v>93</v>
      </c>
      <c r="E15" s="33" t="s">
        <v>93</v>
      </c>
      <c r="F15" s="33" t="s">
        <v>574</v>
      </c>
      <c r="G15" s="33" t="s">
        <v>93</v>
      </c>
      <c r="H15" s="33" t="s">
        <v>575</v>
      </c>
      <c r="I15" s="33" t="s">
        <v>93</v>
      </c>
      <c r="J15" s="33" t="s">
        <v>576</v>
      </c>
      <c r="K15" s="33" t="s">
        <v>577</v>
      </c>
      <c r="L15" s="33" t="s">
        <v>578</v>
      </c>
      <c r="M15" s="33" t="s">
        <v>579</v>
      </c>
      <c r="N15" s="33" t="s">
        <v>580</v>
      </c>
      <c r="O15" s="33" t="s">
        <v>93</v>
      </c>
      <c r="P15" s="33" t="s">
        <v>93</v>
      </c>
      <c r="Q15" s="33" t="s">
        <v>93</v>
      </c>
      <c r="R15" s="33" t="s">
        <v>581</v>
      </c>
      <c r="S15" s="33" t="s">
        <v>93</v>
      </c>
      <c r="T15" s="33" t="s">
        <v>93</v>
      </c>
      <c r="U15" s="33" t="s">
        <v>93</v>
      </c>
      <c r="V15" s="33" t="str" cm="1">
        <f t="array" ref="V15">_xlfn.TEXTJOIN(" • ",TRUE,IF((C15:U15&lt;&gt;"—")*(C15:U15&lt;&gt;""),C15:U15,""))</f>
        <v>🏷️ SharePoint • 🏷️ Google Drive • 🏷️ Salesforce Files • 🏷️ SAP Document Management • 🏷️ Oracle Content Management • 🏷️ Confluence • 🏷️ Amazon S3 • 🏷️ IBM FileNet • 🏷️ Hub</v>
      </c>
    </row>
    <row r="16" spans="1:22" ht="101.5" x14ac:dyDescent="0.35">
      <c r="A16" s="66" t="s">
        <v>582</v>
      </c>
      <c r="B16" s="68" t="s">
        <v>583</v>
      </c>
      <c r="C16" s="33" t="s">
        <v>584</v>
      </c>
      <c r="D16" s="33" t="s">
        <v>93</v>
      </c>
      <c r="E16" s="33" t="s">
        <v>93</v>
      </c>
      <c r="F16" s="33" t="s">
        <v>585</v>
      </c>
      <c r="G16" s="33" t="s">
        <v>93</v>
      </c>
      <c r="H16" s="33" t="s">
        <v>586</v>
      </c>
      <c r="I16" s="33" t="s">
        <v>93</v>
      </c>
      <c r="J16" s="33" t="s">
        <v>587</v>
      </c>
      <c r="K16" s="33" t="s">
        <v>93</v>
      </c>
      <c r="L16" s="33" t="s">
        <v>588</v>
      </c>
      <c r="M16" s="33" t="s">
        <v>589</v>
      </c>
      <c r="N16" s="33" t="s">
        <v>93</v>
      </c>
      <c r="O16" s="33" t="s">
        <v>590</v>
      </c>
      <c r="P16" s="33" t="s">
        <v>93</v>
      </c>
      <c r="Q16" s="33" t="s">
        <v>93</v>
      </c>
      <c r="R16" s="33" t="s">
        <v>93</v>
      </c>
      <c r="S16" s="33" t="s">
        <v>93</v>
      </c>
      <c r="T16" s="33" t="s">
        <v>93</v>
      </c>
      <c r="U16" s="33" t="s">
        <v>93</v>
      </c>
      <c r="V16" s="33" t="str" cm="1">
        <f t="array" ref="V16">_xlfn.TEXTJOIN(" • ",TRUE,IF((C16:U16&lt;&gt;"—")*(C16:U16&lt;&gt;""),C16:U16,""))</f>
        <v>🏷️ Teams • 🏷️ Google Chat / Meet • 🏷️ Slack (Salesforce) • 🏷️ SAP Jam • 🏷️ Confluence / Jira • 🏷️ Amazon Chime • 🏷️ WhatsApp AI</v>
      </c>
    </row>
    <row r="17" spans="1:22" ht="145" x14ac:dyDescent="0.35">
      <c r="A17" s="66" t="s">
        <v>591</v>
      </c>
      <c r="B17" s="68" t="s">
        <v>592</v>
      </c>
      <c r="C17" s="33" t="s">
        <v>593</v>
      </c>
      <c r="D17" s="33" t="s">
        <v>594</v>
      </c>
      <c r="E17" s="33" t="s">
        <v>671</v>
      </c>
      <c r="F17" s="33" t="s">
        <v>595</v>
      </c>
      <c r="G17" s="33" t="s">
        <v>93</v>
      </c>
      <c r="H17" s="33" t="s">
        <v>93</v>
      </c>
      <c r="I17" s="33" t="s">
        <v>93</v>
      </c>
      <c r="J17" s="33" t="s">
        <v>93</v>
      </c>
      <c r="K17" s="33" t="s">
        <v>93</v>
      </c>
      <c r="L17" s="33" t="s">
        <v>93</v>
      </c>
      <c r="M17" s="33" t="s">
        <v>596</v>
      </c>
      <c r="N17" s="33" t="s">
        <v>597</v>
      </c>
      <c r="O17" s="33" t="s">
        <v>598</v>
      </c>
      <c r="P17" s="33" t="s">
        <v>599</v>
      </c>
      <c r="Q17" s="33" t="s">
        <v>93</v>
      </c>
      <c r="R17" s="33" t="s">
        <v>600</v>
      </c>
      <c r="S17" s="33" t="s">
        <v>93</v>
      </c>
      <c r="T17" s="33" t="s">
        <v>93</v>
      </c>
      <c r="U17" s="33" t="s">
        <v>93</v>
      </c>
      <c r="V17" s="33" t="str" cm="1">
        <f t="array" ref="V17">_xlfn.TEXTJOIN(" • ",TRUE,IF((C17:U17&lt;&gt;"—")*(C17:U17&lt;&gt;""),C17:U17,""))</f>
        <v>🏷️ GitHub Copilot • 🏷️ Claude Code • 🏷️ Codex dans ChatGPT • 🏷️ Gemini Code Assist • 🏷️ Amazon Q Developer • 🏷️ watsonx Code Assistant • 🏷️ Code Llama • 🏷️ Codestral • 🏷️ StarCoder</v>
      </c>
    </row>
    <row r="18" spans="1:22" ht="261" x14ac:dyDescent="0.35">
      <c r="A18" s="66" t="s">
        <v>601</v>
      </c>
      <c r="B18" s="68" t="s">
        <v>602</v>
      </c>
      <c r="C18" s="33" t="s">
        <v>603</v>
      </c>
      <c r="D18" s="33" t="s">
        <v>604</v>
      </c>
      <c r="E18" s="33" t="s">
        <v>672</v>
      </c>
      <c r="F18" s="33" t="s">
        <v>605</v>
      </c>
      <c r="G18" s="33" t="s">
        <v>606</v>
      </c>
      <c r="H18" s="33" t="s">
        <v>607</v>
      </c>
      <c r="I18" s="33" t="s">
        <v>608</v>
      </c>
      <c r="J18" s="33" t="s">
        <v>609</v>
      </c>
      <c r="K18" s="33" t="s">
        <v>610</v>
      </c>
      <c r="L18" s="33" t="s">
        <v>611</v>
      </c>
      <c r="M18" s="33" t="s">
        <v>612</v>
      </c>
      <c r="N18" s="33" t="s">
        <v>613</v>
      </c>
      <c r="O18" s="33" t="s">
        <v>93</v>
      </c>
      <c r="P18" s="33" t="s">
        <v>93</v>
      </c>
      <c r="Q18" s="33" t="s">
        <v>614</v>
      </c>
      <c r="R18" s="33" t="s">
        <v>615</v>
      </c>
      <c r="S18" s="33" t="s">
        <v>93</v>
      </c>
      <c r="T18" s="33" t="s">
        <v>93</v>
      </c>
      <c r="U18" s="33" t="s">
        <v>93</v>
      </c>
      <c r="V18" s="33" t="str" cm="1">
        <f t="array" ref="V18">_xlfn.TEXTJOIN(" • ",TRUE,IF((C18:U18&lt;&gt;"—")*(C18:U18&lt;&gt;""),C18:U18,""))</f>
        <v>🏷️ Azure AI Search / Copilot connectors • 🏷️ Claude + RAG API • 🏷️ Deep Research / Company Knowledge / File Search • 🏷️ Vertex AI Search • 🏷️ Perplexity Pro (sources) • 🏷️ Einstein Search • 🏷️ Now Assist Search • 🏷️ SAP Business AI Search • 🏷️ Oracle AI Vector Search • 🏷️ Atlassian Intelligence • 🏷️ Amazon Kendra • 🏷️ watsonx Discovery • 🏷️ Cohere Rerank • 🏷️ Inference Endpoints</v>
      </c>
    </row>
    <row r="19" spans="1:22" ht="188.5" x14ac:dyDescent="0.35">
      <c r="A19" s="66" t="s">
        <v>616</v>
      </c>
      <c r="B19" s="68" t="s">
        <v>617</v>
      </c>
      <c r="C19" s="33" t="s">
        <v>618</v>
      </c>
      <c r="D19" s="33" t="s">
        <v>619</v>
      </c>
      <c r="E19" s="33" t="s">
        <v>673</v>
      </c>
      <c r="F19" s="33" t="s">
        <v>620</v>
      </c>
      <c r="G19" s="33" t="s">
        <v>93</v>
      </c>
      <c r="H19" s="33" t="s">
        <v>621</v>
      </c>
      <c r="I19" s="33" t="s">
        <v>622</v>
      </c>
      <c r="J19" s="33" t="s">
        <v>623</v>
      </c>
      <c r="K19" s="33" t="s">
        <v>624</v>
      </c>
      <c r="L19" s="33" t="s">
        <v>93</v>
      </c>
      <c r="M19" s="33" t="s">
        <v>625</v>
      </c>
      <c r="N19" s="33" t="s">
        <v>626</v>
      </c>
      <c r="O19" s="33" t="s">
        <v>93</v>
      </c>
      <c r="P19" s="33" t="s">
        <v>93</v>
      </c>
      <c r="Q19" s="33" t="s">
        <v>93</v>
      </c>
      <c r="R19" s="33" t="s">
        <v>93</v>
      </c>
      <c r="S19" s="33" t="s">
        <v>93</v>
      </c>
      <c r="T19" s="33" t="s">
        <v>93</v>
      </c>
      <c r="U19" s="33" t="s">
        <v>93</v>
      </c>
      <c r="V19" s="33" t="str" cm="1">
        <f t="array" ref="V19">_xlfn.TEXTJOIN(" • ",TRUE,IF((C19:U19&lt;&gt;"—")*(C19:U19&lt;&gt;""),C19:U19,""))</f>
        <v>🏷️ Copilot in Power BI / Excel • 🏷️ Claude (analyse docs) • 🏷️ Analyse de données dans ChatGPT • 🏷️ Gemini in Looker • 🏷️ Tableau AI (Einstein) • 🏷️ Now Assist Analytics • 🏷️ SAP Analytics Cloud AI • 🏷️ Oracle Analytics AI • 🏷️ Amazon QuickSight Q • 🏷️ watsonx.ai</v>
      </c>
    </row>
    <row r="20" spans="1:22" ht="217.5" x14ac:dyDescent="0.35">
      <c r="A20" s="66" t="s">
        <v>627</v>
      </c>
      <c r="B20" s="68" t="s">
        <v>628</v>
      </c>
      <c r="C20" s="33" t="s">
        <v>629</v>
      </c>
      <c r="D20" s="33" t="s">
        <v>630</v>
      </c>
      <c r="E20" s="33" t="s">
        <v>674</v>
      </c>
      <c r="F20" s="33" t="s">
        <v>631</v>
      </c>
      <c r="G20" s="33" t="s">
        <v>93</v>
      </c>
      <c r="H20" s="33" t="s">
        <v>632</v>
      </c>
      <c r="I20" s="33" t="s">
        <v>93</v>
      </c>
      <c r="J20" s="33" t="s">
        <v>633</v>
      </c>
      <c r="K20" s="33" t="s">
        <v>93</v>
      </c>
      <c r="L20" s="33" t="s">
        <v>634</v>
      </c>
      <c r="M20" s="33" t="s">
        <v>635</v>
      </c>
      <c r="N20" s="33" t="s">
        <v>636</v>
      </c>
      <c r="O20" s="33" t="s">
        <v>637</v>
      </c>
      <c r="P20" s="33" t="s">
        <v>93</v>
      </c>
      <c r="Q20" s="33" t="s">
        <v>93</v>
      </c>
      <c r="R20" s="33" t="s">
        <v>93</v>
      </c>
      <c r="S20" s="33" t="s">
        <v>93</v>
      </c>
      <c r="T20" s="33" t="s">
        <v>93</v>
      </c>
      <c r="U20" s="33" t="s">
        <v>93</v>
      </c>
      <c r="V20" s="33" t="str" cm="1">
        <f t="array" ref="V20">_xlfn.TEXTJOIN(" • ",TRUE,IF((C20:U20&lt;&gt;"—")*(C20:U20&lt;&gt;""),C20:U20,""))</f>
        <v>🏷️ Microsoft Purview / Entra • 🏷️ Claude Admin Console • 🏷️ Contrôles admin ChatGPT / OpenAI Frontier • 🏷️ Vertex AI Governance • 🏷️ Salesforce Shield + Einstein Trust • 🏷️ SAP AI Core Governance • 🏷️ Atlassian Guard • 🏷️ Amazon Bedrock Guardrails • 🏷️ watsonx.governance • 🏷️ Llama Guard</v>
      </c>
    </row>
    <row r="21" spans="1:22" ht="101.5" x14ac:dyDescent="0.35">
      <c r="A21" s="66" t="s">
        <v>638</v>
      </c>
      <c r="B21" s="68" t="s">
        <v>639</v>
      </c>
      <c r="C21" s="33" t="s">
        <v>640</v>
      </c>
      <c r="D21" s="33" t="s">
        <v>93</v>
      </c>
      <c r="E21" s="33" t="s">
        <v>675</v>
      </c>
      <c r="F21" s="33" t="s">
        <v>641</v>
      </c>
      <c r="G21" s="33" t="s">
        <v>93</v>
      </c>
      <c r="H21" s="33" t="s">
        <v>93</v>
      </c>
      <c r="I21" s="33" t="s">
        <v>93</v>
      </c>
      <c r="J21" s="33" t="s">
        <v>93</v>
      </c>
      <c r="K21" s="33" t="s">
        <v>93</v>
      </c>
      <c r="L21" s="33" t="s">
        <v>93</v>
      </c>
      <c r="M21" s="33" t="s">
        <v>642</v>
      </c>
      <c r="N21" s="33" t="s">
        <v>93</v>
      </c>
      <c r="O21" s="33" t="s">
        <v>93</v>
      </c>
      <c r="P21" s="33" t="s">
        <v>93</v>
      </c>
      <c r="Q21" s="33" t="s">
        <v>93</v>
      </c>
      <c r="R21" s="33" t="s">
        <v>643</v>
      </c>
      <c r="S21" s="33" t="s">
        <v>93</v>
      </c>
      <c r="T21" s="33" t="s">
        <v>93</v>
      </c>
      <c r="U21" s="33" t="s">
        <v>93</v>
      </c>
      <c r="V21" s="33" t="str" cm="1">
        <f t="array" ref="V21">_xlfn.TEXTJOIN(" • ",TRUE,IF((C21:U21&lt;&gt;"—")*(C21:U21&lt;&gt;""),C21:U21,""))</f>
        <v>🏷️ DALL-E (via Copilot) / Designer • 🏷️ ChatGPT Images • 🏷️ Imagen / Gemini • 🏷️ Amazon Titan Image • 🏷️ Stable Diffusion (Hub)</v>
      </c>
    </row>
    <row r="22" spans="1:22" ht="145" x14ac:dyDescent="0.35">
      <c r="A22" s="66" t="s">
        <v>644</v>
      </c>
      <c r="B22" s="68" t="s">
        <v>645</v>
      </c>
      <c r="C22" s="33" t="s">
        <v>646</v>
      </c>
      <c r="D22" s="33" t="s">
        <v>93</v>
      </c>
      <c r="E22" s="33" t="s">
        <v>676</v>
      </c>
      <c r="F22" s="33" t="s">
        <v>647</v>
      </c>
      <c r="G22" s="33" t="s">
        <v>93</v>
      </c>
      <c r="H22" s="33" t="s">
        <v>648</v>
      </c>
      <c r="I22" s="33" t="s">
        <v>93</v>
      </c>
      <c r="J22" s="33" t="s">
        <v>93</v>
      </c>
      <c r="K22" s="33" t="s">
        <v>93</v>
      </c>
      <c r="L22" s="33" t="s">
        <v>93</v>
      </c>
      <c r="M22" s="33" t="s">
        <v>649</v>
      </c>
      <c r="N22" s="33" t="s">
        <v>650</v>
      </c>
      <c r="O22" s="33" t="s">
        <v>93</v>
      </c>
      <c r="P22" s="33" t="s">
        <v>93</v>
      </c>
      <c r="Q22" s="33" t="s">
        <v>93</v>
      </c>
      <c r="R22" s="33" t="s">
        <v>651</v>
      </c>
      <c r="S22" s="33" t="s">
        <v>93</v>
      </c>
      <c r="T22" s="33" t="s">
        <v>93</v>
      </c>
      <c r="U22" s="33" t="s">
        <v>93</v>
      </c>
      <c r="V22" s="33" t="str" cm="1">
        <f t="array" ref="V22">_xlfn.TEXTJOIN(" • ",TRUE,IF((C22:U22&lt;&gt;"—")*(C22:U22&lt;&gt;""),C22:U22,""))</f>
        <v>🏷️ Copilot in Teams / Recall • 🏷️ ChatGPT Voice / Whisper API • 🏷️ Google Meet AI notes • 🏷️ Einstein Conversation Insights • 🏷️ Amazon Transcribe • 🏷️ watsonx Speech to Text • 🏷️ Whisper (Hub)</v>
      </c>
    </row>
  </sheetData>
  <mergeCells count="3">
    <mergeCell ref="A1:U1"/>
    <mergeCell ref="A2:U2"/>
    <mergeCell ref="A3:U3"/>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6B774-C85E-4077-897D-BFFAF66F7C99}">
  <sheetPr>
    <tabColor rgb="FFFFD166"/>
  </sheetPr>
  <dimension ref="A1:J39"/>
  <sheetViews>
    <sheetView showGridLines="0" workbookViewId="0">
      <pane ySplit="7" topLeftCell="A8" activePane="bottomLeft" state="frozen"/>
      <selection pane="bottomLeft" activeCell="B4" sqref="B4:J4"/>
    </sheetView>
  </sheetViews>
  <sheetFormatPr baseColWidth="10" defaultRowHeight="14.5" x14ac:dyDescent="0.35"/>
  <cols>
    <col min="1" max="1" width="23.6328125" customWidth="1"/>
    <col min="2" max="2" width="12.453125" bestFit="1" customWidth="1"/>
    <col min="3" max="3" width="26.08984375" bestFit="1" customWidth="1"/>
    <col min="4" max="4" width="28.1796875" bestFit="1" customWidth="1"/>
    <col min="5" max="5" width="29.90625" bestFit="1" customWidth="1"/>
    <col min="6" max="6" width="12.08984375" bestFit="1" customWidth="1"/>
    <col min="7" max="7" width="10.54296875" bestFit="1" customWidth="1"/>
    <col min="8" max="8" width="27.54296875" bestFit="1" customWidth="1"/>
    <col min="9" max="9" width="21" bestFit="1" customWidth="1"/>
    <col min="10" max="10" width="20.453125" bestFit="1" customWidth="1"/>
  </cols>
  <sheetData>
    <row r="1" spans="1:10" ht="36" customHeight="1" thickBot="1" x14ac:dyDescent="0.4">
      <c r="A1" s="103" t="s">
        <v>695</v>
      </c>
      <c r="B1" s="103"/>
      <c r="C1" s="103"/>
      <c r="D1" s="103"/>
      <c r="E1" s="103"/>
      <c r="F1" s="103"/>
      <c r="G1" s="103"/>
      <c r="H1" s="103"/>
      <c r="I1" s="103"/>
      <c r="J1" s="103"/>
    </row>
    <row r="2" spans="1:10" ht="30" customHeight="1" thickTop="1" x14ac:dyDescent="0.35">
      <c r="A2" s="104" t="s">
        <v>696</v>
      </c>
      <c r="B2" s="104"/>
      <c r="C2" s="104"/>
      <c r="D2" s="104"/>
      <c r="E2" s="104"/>
      <c r="F2" s="104"/>
      <c r="G2" s="104"/>
      <c r="H2" s="104"/>
      <c r="I2" s="104"/>
      <c r="J2" s="104"/>
    </row>
    <row r="3" spans="1:10" x14ac:dyDescent="0.35">
      <c r="A3" s="32"/>
      <c r="B3" s="32"/>
      <c r="C3" s="32"/>
      <c r="D3" s="32"/>
      <c r="E3" s="32"/>
      <c r="F3" s="32"/>
      <c r="G3" s="32"/>
      <c r="H3" s="32"/>
      <c r="I3" s="32"/>
      <c r="J3" s="32"/>
    </row>
    <row r="4" spans="1:10" ht="28" customHeight="1" x14ac:dyDescent="0.35">
      <c r="A4" s="43" t="s">
        <v>1115</v>
      </c>
      <c r="B4" s="105"/>
      <c r="C4" s="122"/>
      <c r="D4" s="122"/>
      <c r="E4" s="122"/>
      <c r="F4" s="122"/>
      <c r="G4" s="122"/>
      <c r="H4" s="122"/>
      <c r="I4" s="122"/>
      <c r="J4" s="106"/>
    </row>
    <row r="5" spans="1:10" ht="26" customHeight="1" x14ac:dyDescent="0.35">
      <c r="A5" s="107" t="s">
        <v>697</v>
      </c>
      <c r="B5" s="107"/>
      <c r="C5" s="107"/>
      <c r="D5" s="107"/>
      <c r="E5" s="107"/>
      <c r="F5" s="107"/>
      <c r="G5" s="107"/>
      <c r="H5" s="107"/>
      <c r="I5" s="107"/>
      <c r="J5" s="107"/>
    </row>
    <row r="6" spans="1:10" x14ac:dyDescent="0.35">
      <c r="A6" s="32"/>
      <c r="B6" s="32"/>
      <c r="C6" s="32"/>
      <c r="D6" s="32"/>
      <c r="E6" s="32"/>
      <c r="F6" s="32"/>
      <c r="G6" s="32"/>
      <c r="H6" s="32"/>
      <c r="I6" s="32"/>
      <c r="J6" s="32"/>
    </row>
    <row r="7" spans="1:10" ht="30" customHeight="1" x14ac:dyDescent="0.35">
      <c r="A7" s="46" t="s">
        <v>361</v>
      </c>
      <c r="B7" s="45" t="s">
        <v>362</v>
      </c>
      <c r="C7" s="45" t="s">
        <v>441</v>
      </c>
      <c r="D7" s="45" t="s">
        <v>363</v>
      </c>
      <c r="E7" s="45" t="s">
        <v>412</v>
      </c>
      <c r="F7" s="45" t="s">
        <v>371</v>
      </c>
      <c r="G7" s="45" t="s">
        <v>413</v>
      </c>
      <c r="H7" s="45" t="s">
        <v>414</v>
      </c>
      <c r="I7" s="45" t="s">
        <v>427</v>
      </c>
      <c r="J7" s="47" t="s">
        <v>436</v>
      </c>
    </row>
    <row r="8" spans="1:10" ht="145" x14ac:dyDescent="0.35">
      <c r="A8" s="57" t="str" cm="1">
        <f t="array" ref="A8:J15">_xlfn.LET(_xlpm.q,LOWER(TRIM($B$4)),_xlpm.data,$A$21:$J$28,_xlpm.hay,_xlfn.BYROW(_xlpm.data,_xlfn.LAMBDA(_xlpm.r,LOWER(_xlfn.TEXTJOIN(" ",TRUE,_xlpm.r)))),IF(_xlpm.q="",_xlfn.SORTBY(_xlpm.data,$G$21:$G$28,1),IFERROR(_xlfn.SORTBY(_xlfn._xlws.FILTER(_xlpm.data,ISNUMBER(SEARCH(_xlpm.q,_xlpm.hay))),_xlfn._xlws.FILTER($G$21:$G$28,ISNUMBER(SEARCH(_xlpm.q,_xlpm.hay))),1),"Aucun résultat : essayez un terme plus simple ou un synonyme")))</f>
        <v>AB-730
AI Business Professional</v>
      </c>
      <c r="B8" s="37" t="str">
        <v>Débutant</v>
      </c>
      <c r="C8" s="37" t="str">
        <v>Business</v>
      </c>
      <c r="D8" s="37" t="str">
        <v>Utilisateurs avancés de Copilot, BA, knowledge workers</v>
      </c>
      <c r="E8" s="37" t="str">
        <v>Améliorer les résultats métier avec l’IA générative et Microsoft 365 Copilot, sans coder.
Compétences : Fondamentaux GenAI ; prompts et conversations ; agents ; rédaction et analyse de contenu métier</v>
      </c>
      <c r="F8" s="62" t="str">
        <v>Immédiate</v>
      </c>
      <c r="G8" s="49">
        <v>1</v>
      </c>
      <c r="H8" s="37" t="str">
        <v>⭐⭐⭐⭐⭐ Cible la plus directe pour valoriser ton usage métier de Copilot.
Quand : Après une pratique régulière de Microsoft 365 Copilot</v>
      </c>
      <c r="I8" s="37" t="str">
        <v>https://learn.microsoft.com/fr-fr/credentials/certifications/ai-business-professional/</v>
      </c>
      <c r="J8" s="37" t="str">
        <v>76 € HT*
Examen payant ; préparation Microsoft Learn gratuite</v>
      </c>
    </row>
    <row r="9" spans="1:10" ht="116" x14ac:dyDescent="0.35">
      <c r="A9" s="57" t="str">
        <v>AI-900
Azure AI Fundamentals</v>
      </c>
      <c r="B9" s="37" t="str">
        <v>Débutant</v>
      </c>
      <c r="C9" s="37" t="str">
        <v>Fundamentals / Technique</v>
      </c>
      <c r="D9" s="37" t="str">
        <v>Débutants IA, profils métier ou techniques</v>
      </c>
      <c r="E9" s="37" t="str">
        <v>Construire un socle commun sur les charges de travail IA et les services Azure AI.
Compétences : Machine learning ; vision ; NLP ; IA générative ; principes d’IA responsable</v>
      </c>
      <c r="F9" s="62" t="str">
        <v>Haute</v>
      </c>
      <c r="G9" s="49">
        <v>2</v>
      </c>
      <c r="H9" s="37" t="str">
        <v>⭐⭐⭐⭐⭐ Excellent socle conceptuel, reconnu et transversal.
Quand : Au début du parcours ou en parallèle d’AB-730</v>
      </c>
      <c r="I9" s="37" t="str">
        <v>https://learn.microsoft.com/fr-fr/credentials/certifications/azure-ai-fundamentals/</v>
      </c>
      <c r="J9" s="37" t="str">
        <v>76 € HT*
Examen payant ; préparation Microsoft Learn gratuite</v>
      </c>
    </row>
    <row r="10" spans="1:10" ht="145" x14ac:dyDescent="0.35">
      <c r="A10" s="57" t="str">
        <v>PL-900
Power Platform Fundamentals</v>
      </c>
      <c r="B10" s="37" t="str">
        <v>Débutant</v>
      </c>
      <c r="C10" s="37" t="str">
        <v>Fundamentals / Low-code</v>
      </c>
      <c r="D10" s="37" t="str">
        <v>BA, Citizen Developers, makers</v>
      </c>
      <c r="E10" s="37" t="str">
        <v>Comprendre Power Platform pour automatiser, analyser et créer des solutions low-code.
Compétences : Power Apps ; Power Automate ; Dataverse ; Power BI ; valeur métier de Power Platform</v>
      </c>
      <c r="F10" s="62" t="str">
        <v>Haute</v>
      </c>
      <c r="G10" s="49">
        <v>3</v>
      </c>
      <c r="H10" s="37" t="str">
        <v>⭐⭐⭐⭐⭐ Complément naturel à Copilot Studio et aux agents.
Quand : Après le socle IA, avant un parcours builder</v>
      </c>
      <c r="I10" s="37" t="str">
        <v>https://learn.microsoft.com/fr-fr/credentials/certifications/power-platform-fundamentals/</v>
      </c>
      <c r="J10" s="37" t="str">
        <v>76 € HT*
Examen payant ; préparation Microsoft Learn gratuite</v>
      </c>
    </row>
    <row r="11" spans="1:10" ht="174" x14ac:dyDescent="0.35">
      <c r="A11" s="57" t="str">
        <v>Applied Skill
Créer un agent dans Microsoft Copilot Studio</v>
      </c>
      <c r="B11" s="37" t="str">
        <v>Intermédiaire</v>
      </c>
      <c r="C11" s="37" t="str">
        <v>Applied Skills / Copilot Studio</v>
      </c>
      <c r="D11" s="37" t="str">
        <v>Créateurs d’applications, utilisateurs métier, makers Copilot Studio</v>
      </c>
      <c r="E11" s="37" t="str">
        <v>Démontrer la capacité à créer et publier un agent dans Copilot Studio.
Compétences : configuration de l’agent ; IA générative et connaissances ; rubriques ; outils ; partage et publication.</v>
      </c>
      <c r="F11" s="62" t="str">
        <v>Haute</v>
      </c>
      <c r="G11" s="49">
        <v>4</v>
      </c>
      <c r="H11" s="37" t="str">
        <v>⭐⭐⭐⭐⭐ Validation pratique directement utile avant un parcours builder avancé.
Quand : après PL-900 et une première pratique de Copilot Studio. Préparation : 3 h 52 ; évaluation pratique : 2 h, en anglais.</v>
      </c>
      <c r="I11" s="37" t="str">
        <v>https://learn.microsoft.com/fr-fr/credentials/applied-skills/build-an-agent-in-microsoft-copilot-studio/</v>
      </c>
      <c r="J11" s="37" t="str">
        <v>Gratuite*
Parcours et évaluation Microsoft Learn</v>
      </c>
    </row>
    <row r="12" spans="1:10" ht="159.5" x14ac:dyDescent="0.35">
      <c r="A12" s="57" t="str">
        <v>Applied Skill
Améliorer les agents avec des fonctionnalités autonomes</v>
      </c>
      <c r="B12" s="37" t="str">
        <v>Intermédiaire</v>
      </c>
      <c r="C12" s="37" t="str">
        <v>Applied Skills / Agentique</v>
      </c>
      <c r="D12" s="37" t="str">
        <v>Makers et développeurs connaissant Copilot Studio, Power Automate et Dataverse</v>
      </c>
      <c r="E12" s="37" t="str">
        <v>Ajouter des capacités autonomes à un agent Copilot Studio.
Compétences : connaissances ; agent flows comme outils ; déclencheurs d’événements ; gestion des erreurs ; interaction humaine.</v>
      </c>
      <c r="F12" s="62" t="str">
        <v>Haute</v>
      </c>
      <c r="G12" s="49">
        <v>5</v>
      </c>
      <c r="H12" s="37" t="str">
        <v>⭐⭐⭐⭐⭐ Étape pratique idéale entre la création d’un agent simple et AB-620.
Quand : après l’Applied Skill de création d’agent. Préparation : 2 h ; évaluation pratique : 45 min, en anglais.</v>
      </c>
      <c r="I12" s="37" t="str">
        <v>https://learn.microsoft.com/fr-fr/credentials/applied-skills/enhance-agents-with-autonomous-capabilities/</v>
      </c>
      <c r="J12" s="37" t="str">
        <v>Gratuite*
Parcours et évaluation Microsoft Learn</v>
      </c>
    </row>
    <row r="13" spans="1:10" ht="145" x14ac:dyDescent="0.35">
      <c r="A13" s="57" t="str">
        <v>AB-620
AI Agent Builder Associate</v>
      </c>
      <c r="B13" s="37" t="str">
        <v>Intermédiaire</v>
      </c>
      <c r="C13" s="37" t="str">
        <v>Associate / Builder</v>
      </c>
      <c r="D13" s="37" t="str">
        <v>Builders avancés, développeurs, consultants Power Platform</v>
      </c>
      <c r="E13" s="37" t="str">
        <v>Concevoir, intégrer, sécuriser, tester et exploiter des agents d’entreprise dans Copilot Studio.
Compétences : Agent flows ; Dataverse ; connecteurs/API ; RAG ; MCP/A2A ; multi-agent ; ALM et gouvernance</v>
      </c>
      <c r="F13" s="62" t="str">
        <v>Moyen terme</v>
      </c>
      <c r="G13" s="49">
        <v>6</v>
      </c>
      <c r="H13" s="37" t="str">
        <v>⭐⭐⭐⭐ Très pertinent si tu veux construire et intégrer des agents.
Quand : Après PL-900 et une pratique concrète de Copilot Studio</v>
      </c>
      <c r="I13" s="37" t="str">
        <v>https://learn.microsoft.com/fr-fr/credentials/certifications/ai-agent-builder-associate/</v>
      </c>
      <c r="J13" s="37" t="str">
        <v>165 USD* — prix France à confirmer lors de l’inscription
Examen payant ; préparation Microsoft Learn gratuite</v>
      </c>
    </row>
    <row r="14" spans="1:10" ht="159.5" x14ac:dyDescent="0.35">
      <c r="A14" s="57" t="str">
        <v>DP-900
Azure Data Fundamentals</v>
      </c>
      <c r="B14" s="37" t="str">
        <v>Débutant</v>
      </c>
      <c r="C14" s="37" t="str">
        <v>Fundamentals / Data</v>
      </c>
      <c r="D14" s="37" t="str">
        <v>BA orientés data, débutants Azure Data</v>
      </c>
      <c r="E14" s="37" t="str">
        <v>Acquérir le vocabulaire et les principes des données relationnelles, non relationnelles et analytiques.
Compétences : Données relationnelles ; NoSQL ; analytics ; services de données Azure</v>
      </c>
      <c r="F14" s="62" t="str">
        <v>Complément</v>
      </c>
      <c r="G14" s="49">
        <v>7</v>
      </c>
      <c r="H14" s="37" t="str">
        <v>⭐⭐⭐⭐ Bon bonus pour mieux comprendre les sources et architectures de données.
Quand : Quand les sujets data, RAG ou gouvernance deviennent plus présents</v>
      </c>
      <c r="I14" s="37" t="str">
        <v>https://learn.microsoft.com/fr-fr/credentials/certifications/azure-data-fundamentals/</v>
      </c>
      <c r="J14" s="37" t="str">
        <v>76 € HT*
Examen payant ; préparation Microsoft Learn gratuite</v>
      </c>
    </row>
    <row r="15" spans="1:10" ht="174" x14ac:dyDescent="0.35">
      <c r="A15" s="57" t="str">
        <v>AB-731
AI Transformation Leader</v>
      </c>
      <c r="B15" s="37" t="str">
        <v>Débutant</v>
      </c>
      <c r="C15" s="37" t="str">
        <v>Business / Leadership</v>
      </c>
      <c r="D15" s="37" t="str">
        <v>Managers, sponsors IA, responsables transformation</v>
      </c>
      <c r="E15" s="37" t="str">
        <v>Identifier la valeur de l’IA, choisir les solutions et piloter adoption, gouvernance et transformation.
Compétences : Business value ; portefeuille Microsoft AI ; ROI ; IA responsable ; stratégie d’adoption et conduite du changement</v>
      </c>
      <c r="F15" s="62" t="str">
        <v>Selon le rôle</v>
      </c>
      <c r="G15" s="49">
        <v>8</v>
      </c>
      <c r="H15" s="37" t="str">
        <v>⭐⭐⭐ Moins prioritaire aujourd’hui, mais très utile pour un rôle de management ou de sponsor.
Quand : À remonter dans le classement si tu pilotes une adoption ou une transformation IA</v>
      </c>
      <c r="I15" s="37" t="str">
        <v>https://learn.microsoft.com/fr-fr/credentials/certifications/ai-transformation-leader/</v>
      </c>
      <c r="J15" s="37" t="str">
        <v>76 € HT*
Examen payant ; préparation Microsoft Learn gratuite</v>
      </c>
    </row>
    <row r="16" spans="1:10" x14ac:dyDescent="0.35">
      <c r="A16" s="32"/>
      <c r="B16" s="32"/>
      <c r="C16" s="32"/>
      <c r="D16" s="32"/>
      <c r="E16" s="32"/>
      <c r="F16" s="32"/>
      <c r="G16" s="32"/>
      <c r="H16" s="32"/>
      <c r="I16" s="32"/>
      <c r="J16" s="32"/>
    </row>
    <row r="17" spans="1:10" x14ac:dyDescent="0.35">
      <c r="A17" s="32"/>
      <c r="B17" s="32"/>
      <c r="C17" s="32"/>
      <c r="D17" s="32"/>
      <c r="E17" s="32"/>
      <c r="F17" s="32"/>
      <c r="G17" s="32"/>
      <c r="H17" s="32"/>
      <c r="I17" s="32"/>
      <c r="J17" s="32"/>
    </row>
    <row r="18" spans="1:10" ht="22" customHeight="1" x14ac:dyDescent="0.35">
      <c r="A18" s="102" t="s">
        <v>698</v>
      </c>
      <c r="B18" s="102"/>
      <c r="C18" s="102"/>
      <c r="D18" s="102"/>
      <c r="E18" s="102"/>
      <c r="F18" s="102"/>
      <c r="G18" s="102"/>
      <c r="H18" s="102"/>
      <c r="I18" s="102"/>
      <c r="J18" s="102"/>
    </row>
    <row r="19" spans="1:10" x14ac:dyDescent="0.35">
      <c r="A19" s="32"/>
      <c r="B19" s="32"/>
      <c r="C19" s="32"/>
      <c r="D19" s="32"/>
      <c r="E19" s="32"/>
      <c r="F19" s="32"/>
      <c r="G19" s="32"/>
      <c r="H19" s="32"/>
      <c r="I19" s="32"/>
      <c r="J19" s="32"/>
    </row>
    <row r="20" spans="1:10" x14ac:dyDescent="0.35">
      <c r="A20" s="32" t="s">
        <v>361</v>
      </c>
      <c r="B20" s="32" t="s">
        <v>362</v>
      </c>
      <c r="C20" s="32" t="s">
        <v>441</v>
      </c>
      <c r="D20" s="32" t="s">
        <v>363</v>
      </c>
      <c r="E20" s="32" t="s">
        <v>412</v>
      </c>
      <c r="F20" s="32" t="s">
        <v>371</v>
      </c>
      <c r="G20" s="32" t="s">
        <v>413</v>
      </c>
      <c r="H20" s="32" t="s">
        <v>414</v>
      </c>
      <c r="I20" s="32" t="s">
        <v>427</v>
      </c>
      <c r="J20" s="32" t="s">
        <v>436</v>
      </c>
    </row>
    <row r="21" spans="1:10" ht="145" x14ac:dyDescent="0.35">
      <c r="A21" s="58" t="s">
        <v>442</v>
      </c>
      <c r="B21" s="32" t="s">
        <v>372</v>
      </c>
      <c r="C21" s="32" t="s">
        <v>364</v>
      </c>
      <c r="D21" s="33" t="s">
        <v>373</v>
      </c>
      <c r="E21" s="33" t="s">
        <v>415</v>
      </c>
      <c r="F21" s="58" t="s">
        <v>374</v>
      </c>
      <c r="G21" s="59">
        <v>1</v>
      </c>
      <c r="H21" s="33" t="s">
        <v>416</v>
      </c>
      <c r="I21" s="60" t="s">
        <v>428</v>
      </c>
      <c r="J21" s="58" t="s">
        <v>434</v>
      </c>
    </row>
    <row r="22" spans="1:10" ht="116" x14ac:dyDescent="0.35">
      <c r="A22" s="58" t="s">
        <v>443</v>
      </c>
      <c r="B22" s="32" t="s">
        <v>372</v>
      </c>
      <c r="C22" s="32" t="s">
        <v>375</v>
      </c>
      <c r="D22" s="33" t="s">
        <v>376</v>
      </c>
      <c r="E22" s="33" t="s">
        <v>417</v>
      </c>
      <c r="F22" s="58" t="s">
        <v>377</v>
      </c>
      <c r="G22" s="59">
        <v>2</v>
      </c>
      <c r="H22" s="33" t="s">
        <v>418</v>
      </c>
      <c r="I22" s="61" t="s">
        <v>429</v>
      </c>
      <c r="J22" s="58" t="s">
        <v>434</v>
      </c>
    </row>
    <row r="23" spans="1:10" ht="145" x14ac:dyDescent="0.35">
      <c r="A23" s="58" t="s">
        <v>437</v>
      </c>
      <c r="B23" s="32" t="s">
        <v>372</v>
      </c>
      <c r="C23" s="32" t="s">
        <v>378</v>
      </c>
      <c r="D23" s="33" t="s">
        <v>379</v>
      </c>
      <c r="E23" s="33" t="s">
        <v>419</v>
      </c>
      <c r="F23" s="58" t="s">
        <v>377</v>
      </c>
      <c r="G23" s="59">
        <v>3</v>
      </c>
      <c r="H23" s="33" t="s">
        <v>420</v>
      </c>
      <c r="I23" s="61" t="s">
        <v>430</v>
      </c>
      <c r="J23" s="58" t="s">
        <v>434</v>
      </c>
    </row>
    <row r="24" spans="1:10" ht="174" x14ac:dyDescent="0.35">
      <c r="A24" s="58" t="s">
        <v>444</v>
      </c>
      <c r="B24" s="32" t="s">
        <v>380</v>
      </c>
      <c r="C24" s="32" t="s">
        <v>445</v>
      </c>
      <c r="D24" s="33" t="s">
        <v>446</v>
      </c>
      <c r="E24" s="33" t="s">
        <v>447</v>
      </c>
      <c r="F24" s="58" t="s">
        <v>377</v>
      </c>
      <c r="G24" s="59">
        <v>4</v>
      </c>
      <c r="H24" s="33" t="s">
        <v>448</v>
      </c>
      <c r="I24" s="61" t="s">
        <v>449</v>
      </c>
      <c r="J24" s="58" t="s">
        <v>450</v>
      </c>
    </row>
    <row r="25" spans="1:10" ht="159.5" x14ac:dyDescent="0.35">
      <c r="A25" s="58" t="s">
        <v>451</v>
      </c>
      <c r="B25" s="32" t="s">
        <v>380</v>
      </c>
      <c r="C25" s="32" t="s">
        <v>452</v>
      </c>
      <c r="D25" s="33" t="s">
        <v>453</v>
      </c>
      <c r="E25" s="33" t="s">
        <v>454</v>
      </c>
      <c r="F25" s="58" t="s">
        <v>377</v>
      </c>
      <c r="G25" s="59">
        <v>5</v>
      </c>
      <c r="H25" s="33" t="s">
        <v>455</v>
      </c>
      <c r="I25" s="61" t="s">
        <v>456</v>
      </c>
      <c r="J25" s="58" t="s">
        <v>450</v>
      </c>
    </row>
    <row r="26" spans="1:10" ht="145" x14ac:dyDescent="0.35">
      <c r="A26" s="58" t="s">
        <v>438</v>
      </c>
      <c r="B26" s="32" t="s">
        <v>380</v>
      </c>
      <c r="C26" s="32" t="s">
        <v>381</v>
      </c>
      <c r="D26" s="33" t="s">
        <v>382</v>
      </c>
      <c r="E26" s="33" t="s">
        <v>421</v>
      </c>
      <c r="F26" s="58" t="s">
        <v>383</v>
      </c>
      <c r="G26" s="59">
        <v>6</v>
      </c>
      <c r="H26" s="33" t="s">
        <v>422</v>
      </c>
      <c r="I26" s="61" t="s">
        <v>431</v>
      </c>
      <c r="J26" s="58" t="s">
        <v>435</v>
      </c>
    </row>
    <row r="27" spans="1:10" ht="159.5" x14ac:dyDescent="0.35">
      <c r="A27" s="58" t="s">
        <v>439</v>
      </c>
      <c r="B27" s="32" t="s">
        <v>372</v>
      </c>
      <c r="C27" s="32" t="s">
        <v>384</v>
      </c>
      <c r="D27" s="33" t="s">
        <v>385</v>
      </c>
      <c r="E27" s="33" t="s">
        <v>423</v>
      </c>
      <c r="F27" s="58" t="s">
        <v>386</v>
      </c>
      <c r="G27" s="59">
        <v>7</v>
      </c>
      <c r="H27" s="33" t="s">
        <v>424</v>
      </c>
      <c r="I27" s="61" t="s">
        <v>432</v>
      </c>
      <c r="J27" s="58" t="s">
        <v>434</v>
      </c>
    </row>
    <row r="28" spans="1:10" ht="174" x14ac:dyDescent="0.35">
      <c r="A28" s="58" t="s">
        <v>440</v>
      </c>
      <c r="B28" s="32" t="s">
        <v>372</v>
      </c>
      <c r="C28" s="32" t="s">
        <v>387</v>
      </c>
      <c r="D28" s="33" t="s">
        <v>388</v>
      </c>
      <c r="E28" s="33" t="s">
        <v>425</v>
      </c>
      <c r="F28" s="58" t="s">
        <v>389</v>
      </c>
      <c r="G28" s="59">
        <v>8</v>
      </c>
      <c r="H28" s="33" t="s">
        <v>426</v>
      </c>
      <c r="I28" s="61" t="s">
        <v>433</v>
      </c>
      <c r="J28" s="58" t="s">
        <v>434</v>
      </c>
    </row>
    <row r="29" spans="1:10" x14ac:dyDescent="0.35">
      <c r="A29" s="124" t="s">
        <v>458</v>
      </c>
      <c r="B29" s="124"/>
      <c r="C29" s="124"/>
      <c r="D29" s="124"/>
      <c r="E29" s="124"/>
      <c r="F29" s="124"/>
      <c r="G29" s="124"/>
      <c r="H29" s="124"/>
      <c r="I29" s="124"/>
      <c r="J29" s="124"/>
    </row>
    <row r="30" spans="1:10" x14ac:dyDescent="0.35">
      <c r="A30" s="102" t="s">
        <v>390</v>
      </c>
      <c r="B30" s="102"/>
      <c r="C30" s="102"/>
      <c r="D30" s="102"/>
      <c r="E30" s="102"/>
      <c r="F30" s="102"/>
      <c r="G30" s="102"/>
      <c r="H30" s="102"/>
      <c r="I30" s="102"/>
      <c r="J30" s="102"/>
    </row>
    <row r="31" spans="1:10" x14ac:dyDescent="0.35">
      <c r="A31" s="32" t="s">
        <v>391</v>
      </c>
      <c r="B31" s="32" t="s">
        <v>392</v>
      </c>
      <c r="C31" s="32" t="s">
        <v>1</v>
      </c>
      <c r="D31" s="32" t="s">
        <v>393</v>
      </c>
      <c r="E31" s="32"/>
      <c r="F31" s="32"/>
      <c r="G31" s="32"/>
      <c r="H31" s="32"/>
      <c r="I31" s="32"/>
      <c r="J31" s="32"/>
    </row>
    <row r="32" spans="1:10" ht="130.5" x14ac:dyDescent="0.35">
      <c r="A32" s="32" t="s">
        <v>372</v>
      </c>
      <c r="B32" s="33" t="s">
        <v>370</v>
      </c>
      <c r="C32" s="33" t="s">
        <v>394</v>
      </c>
      <c r="D32" s="33" t="s">
        <v>395</v>
      </c>
      <c r="E32" s="32"/>
      <c r="F32" s="32"/>
      <c r="G32" s="32"/>
      <c r="H32" s="32"/>
      <c r="I32" s="32"/>
      <c r="J32" s="32"/>
    </row>
    <row r="33" spans="1:10" ht="145" x14ac:dyDescent="0.35">
      <c r="A33" s="32" t="s">
        <v>380</v>
      </c>
      <c r="B33" s="33" t="s">
        <v>370</v>
      </c>
      <c r="C33" s="33" t="s">
        <v>396</v>
      </c>
      <c r="D33" s="33" t="s">
        <v>397</v>
      </c>
      <c r="E33" s="32"/>
      <c r="F33" s="32"/>
      <c r="G33" s="32"/>
      <c r="H33" s="32"/>
      <c r="I33" s="32"/>
      <c r="J33" s="32"/>
    </row>
    <row r="34" spans="1:10" ht="116" x14ac:dyDescent="0.35">
      <c r="A34" s="32" t="s">
        <v>367</v>
      </c>
      <c r="B34" s="33" t="s">
        <v>398</v>
      </c>
      <c r="C34" s="33" t="s">
        <v>399</v>
      </c>
      <c r="D34" s="33" t="s">
        <v>400</v>
      </c>
      <c r="E34" s="32"/>
      <c r="F34" s="32"/>
      <c r="G34" s="32"/>
      <c r="H34" s="32"/>
      <c r="I34" s="32"/>
      <c r="J34" s="32"/>
    </row>
    <row r="35" spans="1:10" ht="130.5" x14ac:dyDescent="0.35">
      <c r="A35" s="32" t="s">
        <v>366</v>
      </c>
      <c r="B35" s="33" t="s">
        <v>398</v>
      </c>
      <c r="C35" s="33" t="s">
        <v>401</v>
      </c>
      <c r="D35" s="33" t="s">
        <v>402</v>
      </c>
      <c r="E35" s="32"/>
      <c r="F35" s="32"/>
      <c r="G35" s="32"/>
      <c r="H35" s="32"/>
      <c r="I35" s="32"/>
      <c r="J35" s="32"/>
    </row>
    <row r="36" spans="1:10" ht="101.5" x14ac:dyDescent="0.35">
      <c r="A36" s="32" t="s">
        <v>368</v>
      </c>
      <c r="B36" s="33" t="s">
        <v>398</v>
      </c>
      <c r="C36" s="33" t="s">
        <v>403</v>
      </c>
      <c r="D36" s="33" t="s">
        <v>404</v>
      </c>
      <c r="E36" s="32"/>
      <c r="F36" s="32"/>
      <c r="G36" s="32"/>
      <c r="H36" s="32"/>
      <c r="I36" s="32"/>
      <c r="J36" s="32"/>
    </row>
    <row r="37" spans="1:10" ht="101.5" x14ac:dyDescent="0.35">
      <c r="A37" s="32" t="s">
        <v>369</v>
      </c>
      <c r="B37" s="33" t="s">
        <v>398</v>
      </c>
      <c r="C37" s="33" t="s">
        <v>405</v>
      </c>
      <c r="D37" s="33" t="s">
        <v>404</v>
      </c>
      <c r="E37" s="32"/>
      <c r="F37" s="32"/>
      <c r="G37" s="32"/>
      <c r="H37" s="32"/>
      <c r="I37" s="32"/>
      <c r="J37" s="32"/>
    </row>
    <row r="38" spans="1:10" ht="188.5" x14ac:dyDescent="0.35">
      <c r="A38" s="32" t="s">
        <v>365</v>
      </c>
      <c r="B38" s="33" t="s">
        <v>406</v>
      </c>
      <c r="C38" s="33" t="s">
        <v>407</v>
      </c>
      <c r="D38" s="33" t="s">
        <v>408</v>
      </c>
      <c r="E38" s="32"/>
      <c r="F38" s="32"/>
      <c r="G38" s="32"/>
      <c r="H38" s="32"/>
      <c r="I38" s="32"/>
      <c r="J38" s="32"/>
    </row>
    <row r="39" spans="1:10" ht="130.5" x14ac:dyDescent="0.35">
      <c r="A39" s="32" t="s">
        <v>409</v>
      </c>
      <c r="B39" s="33" t="s">
        <v>410</v>
      </c>
      <c r="C39" s="33" t="s">
        <v>411</v>
      </c>
      <c r="D39" s="33" t="s">
        <v>457</v>
      </c>
      <c r="E39" s="32"/>
      <c r="F39" s="32"/>
      <c r="G39" s="32"/>
      <c r="H39" s="32"/>
      <c r="I39" s="32"/>
      <c r="J39" s="32"/>
    </row>
  </sheetData>
  <autoFilter ref="A7:J7" xr:uid="{73B6B774-C85E-4077-897D-BFFAF66F7C99}"/>
  <mergeCells count="7">
    <mergeCell ref="A1:J1"/>
    <mergeCell ref="A2:J2"/>
    <mergeCell ref="A30:J30"/>
    <mergeCell ref="A29:J29"/>
    <mergeCell ref="B4:J4"/>
    <mergeCell ref="A5:J5"/>
    <mergeCell ref="A18:J18"/>
  </mergeCells>
  <phoneticPr fontId="3" type="noConversion"/>
  <hyperlinks>
    <hyperlink ref="I21" r:id="rId1" xr:uid="{9E3B7034-794D-4CF3-87C3-B357D9B3EBBF}"/>
  </hyperlinks>
  <pageMargins left="0.7" right="0.7" top="0.75" bottom="0.75" header="0.3" footer="0.3"/>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B1F53-9825-43F2-BE04-88450A0E3B1E}">
  <sheetPr>
    <tabColor rgb="FFFF4FB8"/>
  </sheetPr>
  <dimension ref="A1:H51"/>
  <sheetViews>
    <sheetView showGridLines="0" workbookViewId="0">
      <pane ySplit="7" topLeftCell="A8" activePane="bottomLeft" state="frozen"/>
      <selection pane="bottomLeft" activeCell="B4" sqref="B4:H4"/>
    </sheetView>
  </sheetViews>
  <sheetFormatPr baseColWidth="10" defaultRowHeight="14.5" x14ac:dyDescent="0.35"/>
  <cols>
    <col min="1" max="1" width="10.26953125" bestFit="1" customWidth="1"/>
    <col min="2" max="2" width="5.90625" bestFit="1" customWidth="1"/>
    <col min="3" max="4" width="30.90625" customWidth="1"/>
    <col min="5" max="5" width="27.26953125" customWidth="1"/>
    <col min="6" max="6" width="53.08984375" customWidth="1"/>
    <col min="7" max="8" width="25.453125" customWidth="1"/>
  </cols>
  <sheetData>
    <row r="1" spans="1:8" ht="25" thickBot="1" x14ac:dyDescent="0.4">
      <c r="A1" s="126" t="s">
        <v>951</v>
      </c>
      <c r="B1" s="126"/>
      <c r="C1" s="126"/>
      <c r="D1" s="126"/>
      <c r="E1" s="126"/>
      <c r="F1" s="126"/>
      <c r="G1" s="126"/>
      <c r="H1" s="126"/>
    </row>
    <row r="2" spans="1:8" ht="15" thickTop="1" x14ac:dyDescent="0.35">
      <c r="A2" s="104" t="s">
        <v>952</v>
      </c>
      <c r="B2" s="104"/>
      <c r="C2" s="104"/>
      <c r="D2" s="104"/>
      <c r="E2" s="104"/>
      <c r="F2" s="104"/>
      <c r="G2" s="104"/>
      <c r="H2" s="104"/>
    </row>
    <row r="3" spans="1:8" x14ac:dyDescent="0.35">
      <c r="A3" s="33"/>
      <c r="B3" s="33"/>
      <c r="C3" s="33"/>
      <c r="D3" s="33"/>
      <c r="E3" s="33"/>
      <c r="F3" s="33"/>
      <c r="G3" s="33"/>
      <c r="H3" s="33"/>
    </row>
    <row r="4" spans="1:8" ht="29" x14ac:dyDescent="0.35">
      <c r="A4" s="101" t="s">
        <v>1116</v>
      </c>
      <c r="B4" s="127"/>
      <c r="C4" s="128"/>
      <c r="D4" s="128"/>
      <c r="E4" s="128"/>
      <c r="F4" s="128"/>
      <c r="G4" s="128"/>
      <c r="H4" s="129"/>
    </row>
    <row r="5" spans="1:8" ht="43.5" x14ac:dyDescent="0.35">
      <c r="A5" s="65" t="s">
        <v>953</v>
      </c>
      <c r="B5" s="65"/>
      <c r="C5" s="65" t="s">
        <v>954</v>
      </c>
      <c r="D5" s="65"/>
      <c r="E5" s="65" t="s">
        <v>955</v>
      </c>
      <c r="F5" s="65"/>
      <c r="G5" s="65" t="s">
        <v>956</v>
      </c>
      <c r="H5" s="65"/>
    </row>
    <row r="6" spans="1:8" x14ac:dyDescent="0.35">
      <c r="A6" s="33"/>
      <c r="B6" s="33"/>
      <c r="C6" s="33"/>
      <c r="D6" s="33"/>
      <c r="E6" s="33"/>
      <c r="F6" s="33"/>
      <c r="G6" s="33"/>
      <c r="H6" s="33"/>
    </row>
    <row r="7" spans="1:8" x14ac:dyDescent="0.35">
      <c r="A7" s="46" t="s">
        <v>1117</v>
      </c>
      <c r="B7" s="45" t="s">
        <v>701</v>
      </c>
      <c r="C7" s="45" t="s">
        <v>441</v>
      </c>
      <c r="D7" s="45" t="s">
        <v>1118</v>
      </c>
      <c r="E7" s="45" t="s">
        <v>1119</v>
      </c>
      <c r="F7" s="45" t="s">
        <v>1120</v>
      </c>
      <c r="G7" s="45" t="s">
        <v>706</v>
      </c>
      <c r="H7" s="47" t="s">
        <v>1121</v>
      </c>
    </row>
    <row r="8" spans="1:8" ht="29" x14ac:dyDescent="0.35">
      <c r="A8" s="37" cm="1">
        <f t="array" ref="A8:H47">_xlfn.LET(_xlpm.q,LOWER(TRIM($B$4)),_xlpm.tool,LOWER(TRIM($B$5)),_xlpm.cat,LOWER(TRIM($D$5)),_xlpm.lvl,LOWER(TRIM($F$5)),_xlpm.stat,LOWER(TRIM($H$5)),_xlpm.id,BibliothequePrompts[ID],_xlpm.title,BibliothequePrompts[Titre],_xlpm.need,BibliothequePrompts[Besoin / intention],_xlpm.cats,BibliothequePrompts[Catégorie],_xlpm.tools,BibliothequePrompts[Outil],_xlpm.apps,BibliothequePrompts[Application],_xlpm.ptext,BibliothequePrompts[Prompt],_xlpm.vars,BibliothequePrompts[Variables],_xlpm.levels,BibliothequePrompts[Signal de maturité],_xlpm.source,BibliothequePrompts[Source],_xlpm.status,BibliothequePrompts[Statut],_xlpm.hay,LOWER(_xlpm.title&amp;" "&amp;_xlpm.need&amp;" "&amp;_xlpm.cats&amp;" "&amp;_xlpm.tools&amp;" "&amp;_xlpm.apps&amp;" "&amp;_xlpm.ptext&amp;" "&amp;_xlpm.vars),_xlpm.words,IF(_xlpm.q="","",_xlfn._xlws.FILTER(_xlfn.TEXTSPLIT(_xlpm.q," "),_xlfn.TEXTSPLIT(_xlpm.q," ")&lt;&gt;"")),_xlpm.scores,IF(_xlpm.q="",_xlfn.SEQUENCE(ROWS(_xlpm.id),1,1,0),_xlfn.MAP(_xlpm.hay,_xlfn.LAMBDA(_xlpm.x,SUM(--ISNUMBER(SEARCH(_xlpm.words,_xlpm.x)))))),_xlpm.keep,(_xlpm.scores&gt;0)*IF(_xlpm.tool="",1,ISNUMBER(SEARCH(_xlpm.tool,LOWER(_xlpm.tools&amp;" "&amp;_xlpm.apps))))*IF(_xlpm.cat="",1,ISNUMBER(SEARCH(_xlpm.cat,LOWER(_xlpm.cats))))*IF(_xlpm.lvl="",1,ISNUMBER(SEARCH(_xlpm.lvl,LOWER(_xlpm.levels))))*IF(_xlpm.stat="",1,ISNUMBER(SEARCH(_xlpm.stat,LOWER(_xlpm.status)))),_xlpm.result,_xlfn.HSTACK(_xlpm.scores,_xlpm.id,_xlpm.title,_xlpm.need,_xlpm.tools&amp;" / "&amp;_xlpm.apps,_xlpm.ptext,_xlpm.vars,_xlpm.source&amp;" / "&amp;_xlpm.status),IFERROR(_xlfn.SORTBY(_xlfn._xlws.FILTER(_xlpm.result,_xlpm.keep),_xlfn._xlws.FILTER(_xlpm.scores,_xlpm.keep),-1),"Aucun résultat : simplifiez la recherche ou retirez un filtre"))</f>
        <v>1</v>
      </c>
      <c r="B8" s="57" t="str">
        <v>P-001</v>
      </c>
      <c r="C8" s="51" t="str">
        <v>Analyser un classeur</v>
      </c>
      <c r="D8" s="37" t="str">
        <v>Analyser des données et identifier les enseignements clés</v>
      </c>
      <c r="E8" s="37" t="str">
        <v>Microsoft 365 Copilot / Excel</v>
      </c>
      <c r="F8" s="37" t="str">
        <v>Analyze this workbook and give me interesting data insights.</v>
      </c>
      <c r="G8" s="37" t="str">
        <v>[classeur]</v>
      </c>
      <c r="H8" s="37" t="str">
        <v>Microsoft Prompt Gallery / À tester</v>
      </c>
    </row>
    <row r="9" spans="1:8" ht="43.5" x14ac:dyDescent="0.35">
      <c r="A9" s="37">
        <v>1</v>
      </c>
      <c r="B9" s="57" t="str">
        <v>P-002</v>
      </c>
      <c r="C9" s="51" t="str">
        <v>Détecter tendances et anomalies</v>
      </c>
      <c r="D9" s="37" t="str">
        <v>Comprendre rapidement un fichier de données</v>
      </c>
      <c r="E9" s="37" t="str">
        <v>Microsoft 365 Copilot / Excel</v>
      </c>
      <c r="F9" s="37" t="str">
        <v>Analyze this file and describe any important trends, outliers, or anomalies. Suggest possible explanations and next steps.</v>
      </c>
      <c r="G9" s="37" t="str">
        <v>[fichier]</v>
      </c>
      <c r="H9" s="37" t="str">
        <v>Microsoft Prompt Gallery / À tester</v>
      </c>
    </row>
    <row r="10" spans="1:8" ht="43.5" x14ac:dyDescent="0.35">
      <c r="A10" s="37">
        <v>1</v>
      </c>
      <c r="B10" s="57" t="str">
        <v>P-003</v>
      </c>
      <c r="C10" s="51" t="str">
        <v>Créer un plan de ventes Excel</v>
      </c>
      <c r="D10" s="37" t="str">
        <v>Créer un classeur opérationnel structuré</v>
      </c>
      <c r="E10" s="37" t="str">
        <v>Microsoft 365 Copilot / Excel</v>
      </c>
      <c r="F10" s="37" t="str">
        <v>Create a workbook called "Q2 Sales Plan" with sheets for Pipeline, Actuals, Forecast, and Actions. Add clear headers and a summary view.</v>
      </c>
      <c r="G10" s="37" t="str">
        <v>[période] [structure]</v>
      </c>
      <c r="H10" s="37" t="str">
        <v>Microsoft Prompt Gallery / À tester</v>
      </c>
    </row>
    <row r="11" spans="1:8" ht="43.5" x14ac:dyDescent="0.35">
      <c r="A11" s="37">
        <v>1</v>
      </c>
      <c r="B11" s="57" t="str">
        <v>P-004</v>
      </c>
      <c r="C11" s="51" t="str">
        <v>Budget : variance et prévision</v>
      </c>
      <c r="D11" s="37" t="str">
        <v>Comparer réalisé et prévision</v>
      </c>
      <c r="E11" s="37" t="str">
        <v>Microsoft 365 Copilot / Excel</v>
      </c>
      <c r="F11" s="37" t="str">
        <v>Create this month’s budget variance and forecast update. Compare actuals to budget, highlight material variances, and summarize likely causes.</v>
      </c>
      <c r="G11" s="37" t="str">
        <v>[mois] [seuil de matérialité]</v>
      </c>
      <c r="H11" s="37" t="str">
        <v>Microsoft Prompt Gallery / À tester</v>
      </c>
    </row>
    <row r="12" spans="1:8" ht="43.5" x14ac:dyDescent="0.35">
      <c r="A12" s="37">
        <v>1</v>
      </c>
      <c r="B12" s="57" t="str">
        <v>P-005</v>
      </c>
      <c r="C12" s="51" t="str">
        <v>Tester une hypothèse financière</v>
      </c>
      <c r="D12" s="37" t="str">
        <v>Mesurer l'impact d'un changement d'hypothèse</v>
      </c>
      <c r="E12" s="37" t="str">
        <v>Microsoft 365 Copilot / Excel</v>
      </c>
      <c r="F12" s="37" t="str">
        <v>What is the impact of [change in assumption] on [financial metric]? Show the calculation, key sensitivities, and a concise interpretation.</v>
      </c>
      <c r="G12" s="37" t="str">
        <v>[hypothèse] [métrique]</v>
      </c>
      <c r="H12" s="37" t="str">
        <v>Microsoft Prompt Gallery / À tester</v>
      </c>
    </row>
    <row r="13" spans="1:8" ht="43.5" x14ac:dyDescent="0.35">
      <c r="A13" s="37">
        <v>1</v>
      </c>
      <c r="B13" s="57" t="str">
        <v>P-006</v>
      </c>
      <c r="C13" s="51" t="str">
        <v>Résumer les e-mails urgents</v>
      </c>
      <c r="D13" s="37" t="str">
        <v>Prioriser rapidement sa messagerie</v>
      </c>
      <c r="E13" s="37" t="str">
        <v>Microsoft 365 Copilot / Outlook</v>
      </c>
      <c r="F13" s="37" t="str">
        <v>Please summarize the emails I've received over the past two weeks and prioritize them based on urgency. Include sender, topic, requested action, and deadline.</v>
      </c>
      <c r="G13" s="37" t="str">
        <v>[période]</v>
      </c>
      <c r="H13" s="37" t="str">
        <v>Microsoft Prompt Gallery / À tester</v>
      </c>
    </row>
    <row r="14" spans="1:8" ht="43.5" x14ac:dyDescent="0.35">
      <c r="A14" s="37">
        <v>1</v>
      </c>
      <c r="B14" s="57" t="str">
        <v>P-007</v>
      </c>
      <c r="C14" s="51" t="str">
        <v>Identifier qui attend une réponse</v>
      </c>
      <c r="D14" s="37" t="str">
        <v>Repérer les demandes en attente</v>
      </c>
      <c r="E14" s="37" t="str">
        <v>Microsoft 365 Copilot / Outlook</v>
      </c>
      <c r="F14" s="37" t="str">
        <v>Find emails in the past 48 hours where someone is waiting on me. List the sender, request, urgency, and recommended next action.</v>
      </c>
      <c r="G14" s="37" t="str">
        <v>[période]</v>
      </c>
      <c r="H14" s="37" t="str">
        <v>Microsoft Prompt Gallery / À tester</v>
      </c>
    </row>
    <row r="15" spans="1:8" ht="43.5" x14ac:dyDescent="0.35">
      <c r="A15" s="37">
        <v>1</v>
      </c>
      <c r="B15" s="57" t="str">
        <v>P-008</v>
      </c>
      <c r="C15" s="51" t="str">
        <v>Organiser sa boîte de réception</v>
      </c>
      <c r="D15" s="37" t="str">
        <v>Trier les e-mails et décider des actions</v>
      </c>
      <c r="E15" s="37" t="str">
        <v>Microsoft 365 Copilot / Outlook</v>
      </c>
      <c r="F15" s="37" t="str">
        <v>You are my email analyst. Review all unread emails in my Outlook inbox and summarize each one in a structured table with urgency, action needed, owner, and due date.</v>
      </c>
      <c r="G15" s="37" t="str">
        <v>[règles de priorité]</v>
      </c>
      <c r="H15" s="37" t="str">
        <v>Microsoft Prompt Gallery / À tester</v>
      </c>
    </row>
    <row r="16" spans="1:8" ht="43.5" x14ac:dyDescent="0.35">
      <c r="A16" s="37">
        <v>1</v>
      </c>
      <c r="B16" s="57" t="str">
        <v>P-009</v>
      </c>
      <c r="C16" s="51" t="str">
        <v>Préparer une réunion client</v>
      </c>
      <c r="D16" s="37" t="str">
        <v>Arriver préparé avec le contexte utile</v>
      </c>
      <c r="E16" s="37" t="str">
        <v>Microsoft 365 Copilot / Outlook / Teams</v>
      </c>
      <c r="F16" s="37" t="str">
        <v>Prepare me for my upcoming customer meeting with [Customer name]. Pull together recent emails, meetings, files, open actions, risks, and suggested questions.</v>
      </c>
      <c r="G16" s="37" t="str">
        <v>[client]</v>
      </c>
      <c r="H16" s="37" t="str">
        <v>Microsoft Prompt Gallery / À tester</v>
      </c>
    </row>
    <row r="17" spans="1:8" ht="43.5" x14ac:dyDescent="0.35">
      <c r="A17" s="37">
        <v>1</v>
      </c>
      <c r="B17" s="57" t="str">
        <v>P-010</v>
      </c>
      <c r="C17" s="51" t="str">
        <v>Extraire les actions d'une réunion</v>
      </c>
      <c r="D17" s="37" t="str">
        <v>Transformer une réunion en plan d'action</v>
      </c>
      <c r="E17" s="37" t="str">
        <v>Microsoft 365 Copilot / Teams</v>
      </c>
      <c r="F17" s="37" t="str">
        <v>Identify and list all action items agreed upon during the meeting, including owner, due date, dependencies, and unresolved questions.</v>
      </c>
      <c r="G17" s="37" t="str">
        <v>[réunion]</v>
      </c>
      <c r="H17" s="37" t="str">
        <v>Microsoft Prompt Gallery / À tester</v>
      </c>
    </row>
    <row r="18" spans="1:8" ht="43.5" x14ac:dyDescent="0.35">
      <c r="A18" s="37">
        <v>1</v>
      </c>
      <c r="B18" s="57" t="str">
        <v>P-011</v>
      </c>
      <c r="C18" s="51" t="str">
        <v>Recenser les questions ouvertes</v>
      </c>
      <c r="D18" s="37" t="str">
        <v>Identifier ce qui reste à résoudre</v>
      </c>
      <c r="E18" s="37" t="str">
        <v>Microsoft 365 Copilot / Teams</v>
      </c>
      <c r="F18" s="37" t="str">
        <v>List all open questions raised during the meeting that have not yet been answered or resolved. Group them by topic and suggest an owner.</v>
      </c>
      <c r="G18" s="37" t="str">
        <v>[réunion]</v>
      </c>
      <c r="H18" s="37" t="str">
        <v>Microsoft Prompt Gallery / À tester</v>
      </c>
    </row>
    <row r="19" spans="1:8" ht="43.5" x14ac:dyDescent="0.35">
      <c r="A19" s="37">
        <v>1</v>
      </c>
      <c r="B19" s="57" t="str">
        <v>P-012</v>
      </c>
      <c r="C19" s="51" t="str">
        <v>Rédiger un point projet</v>
      </c>
      <c r="D19" s="37" t="str">
        <v>Synthétiser le statut d'une initiative</v>
      </c>
      <c r="E19" s="37" t="str">
        <v>Microsoft 365 Copilot / Copilot Chat / Teams</v>
      </c>
      <c r="F19" s="37" t="str">
        <v>Draft a project update based on emails, chats, and meetings in [project]. Include progress, decisions, risks, blockers, actions, and next milestones.</v>
      </c>
      <c r="G19" s="37" t="str">
        <v>[projet] [période]</v>
      </c>
      <c r="H19" s="37" t="str">
        <v>Microsoft Prompt Gallery / À tester</v>
      </c>
    </row>
    <row r="20" spans="1:8" ht="43.5" x14ac:dyDescent="0.35">
      <c r="A20" s="37">
        <v>1</v>
      </c>
      <c r="B20" s="57" t="str">
        <v>P-013</v>
      </c>
      <c r="C20" s="51" t="str">
        <v>Planifier un lancement produit</v>
      </c>
      <c r="D20" s="37" t="str">
        <v>Construire un plan de lancement actionnable</v>
      </c>
      <c r="E20" s="37" t="str">
        <v>Microsoft 365 Copilot / Copilot Chat</v>
      </c>
      <c r="F20" s="37" t="str">
        <v>Build a clear product launch plan for [Product name]. Compare it to [Competitors], define audiences, messages, channels, milestones, owners, risks, and success metrics.</v>
      </c>
      <c r="G20" s="37" t="str">
        <v>[produit] [concurrents]</v>
      </c>
      <c r="H20" s="37" t="str">
        <v>Microsoft Prompt Gallery / À tester</v>
      </c>
    </row>
    <row r="21" spans="1:8" ht="58" x14ac:dyDescent="0.35">
      <c r="A21" s="37">
        <v>1</v>
      </c>
      <c r="B21" s="57" t="str">
        <v>P-014</v>
      </c>
      <c r="C21" s="51" t="str">
        <v>Recherche approfondie</v>
      </c>
      <c r="D21" s="37" t="str">
        <v>Explorer un sujet avec sources et angles</v>
      </c>
      <c r="E21" s="37" t="str">
        <v>Microsoft 365 Copilot / Researcher / Copilot Chat</v>
      </c>
      <c r="F21" s="37" t="str">
        <v>I'm interested in conducting thorough research on [TOPIC]. Provide key questions, primary sources, competing viewpoints, evidence, uncertainties, and a concise executive summary.</v>
      </c>
      <c r="G21" s="37" t="str">
        <v>[sujet] [périmètre]</v>
      </c>
      <c r="H21" s="37" t="str">
        <v>Microsoft Prompt Gallery / À tester</v>
      </c>
    </row>
    <row r="22" spans="1:8" ht="58" x14ac:dyDescent="0.35">
      <c r="A22" s="37">
        <v>1</v>
      </c>
      <c r="B22" s="57" t="str">
        <v>P-015</v>
      </c>
      <c r="C22" s="51" t="str">
        <v>Analyser une entreprise</v>
      </c>
      <c r="D22" s="37" t="str">
        <v>Préparer une analyse d'entreprise structurée</v>
      </c>
      <c r="E22" s="37" t="str">
        <v>Microsoft 365 Copilot / Researcher / Copilot Chat</v>
      </c>
      <c r="F22" s="37" t="str">
        <v>Help me analyze a company. If I do not provide one, ask me which company. Cover business model, market, competitors, financial signals, risks, recent news, and sources.</v>
      </c>
      <c r="G22" s="37" t="str">
        <v>[entreprise]</v>
      </c>
      <c r="H22" s="37" t="str">
        <v>Microsoft Prompt Gallery / À tester</v>
      </c>
    </row>
    <row r="23" spans="1:8" ht="43.5" x14ac:dyDescent="0.35">
      <c r="A23" s="37">
        <v>1</v>
      </c>
      <c r="B23" s="57" t="str">
        <v>P-016</v>
      </c>
      <c r="C23" s="51" t="str">
        <v>Créer une présentation exécutive</v>
      </c>
      <c r="D23" s="37" t="str">
        <v>Transformer un document en présentation</v>
      </c>
      <c r="E23" s="37" t="str">
        <v>Microsoft 365 Copilot / PowerPoint</v>
      </c>
      <c r="F23" s="37" t="str">
        <v>Create a presentation from [file] summarizing the key requirements, decisions, risks, and recommended next steps for an executive audience.</v>
      </c>
      <c r="G23" s="37" t="str">
        <v>[fichier] [public]</v>
      </c>
      <c r="H23" s="37" t="str">
        <v>Microsoft Prompt Gallery / À tester</v>
      </c>
    </row>
    <row r="24" spans="1:8" ht="58" x14ac:dyDescent="0.35">
      <c r="A24" s="37">
        <v>1</v>
      </c>
      <c r="B24" s="57" t="str">
        <v>P-017</v>
      </c>
      <c r="C24" s="51" t="str">
        <v>Améliorer une présentation</v>
      </c>
      <c r="D24" s="37" t="str">
        <v>Contrôler cohérence et marque</v>
      </c>
      <c r="E24" s="37" t="str">
        <v>Microsoft 365 Copilot / PowerPoint</v>
      </c>
      <c r="F24" s="37" t="str">
        <v>Review my presentation for inconsistencies with [brand guidelines]. Identify issues in message, structure, terminology, visuals, and accessibility, then suggest precise edits.</v>
      </c>
      <c r="G24" s="37" t="str">
        <v>[charte]</v>
      </c>
      <c r="H24" s="37" t="str">
        <v>Microsoft Prompt Gallery / À tester</v>
      </c>
    </row>
    <row r="25" spans="1:8" ht="43.5" x14ac:dyDescent="0.35">
      <c r="A25" s="37">
        <v>1</v>
      </c>
      <c r="B25" s="57" t="str">
        <v>P-018</v>
      </c>
      <c r="C25" s="51" t="str">
        <v>Créer des idées de brainstorming</v>
      </c>
      <c r="D25" s="37" t="str">
        <v>Lancer une session d'idéation</v>
      </c>
      <c r="E25" s="37" t="str">
        <v>Microsoft 365 Copilot / Copilot Chat</v>
      </c>
      <c r="F25" s="37" t="str">
        <v>Generate a list of creative ideas for an ideation session about [theme]. Group ideas by ambition, feasibility, and expected impact, then propose three discussion questions.</v>
      </c>
      <c r="G25" s="37" t="str">
        <v>[thème]</v>
      </c>
      <c r="H25" s="37" t="str">
        <v>Microsoft Prompt Gallery / À tester</v>
      </c>
    </row>
    <row r="26" spans="1:8" ht="43.5" x14ac:dyDescent="0.35">
      <c r="A26" s="37">
        <v>1</v>
      </c>
      <c r="B26" s="57" t="str">
        <v>P-019</v>
      </c>
      <c r="C26" s="51" t="str">
        <v>Réécrire avec clarté</v>
      </c>
      <c r="D26" s="37" t="str">
        <v>Rendre un texte plus clair et concis</v>
      </c>
      <c r="E26" s="37" t="str">
        <v>Microsoft 365 Copilot / Word / Copilot Chat</v>
      </c>
      <c r="F26" s="37" t="str">
        <v>Can you help me rewrite this paragraph to make it clearer and more concise? Preserve the meaning, flag any ambiguity, and provide one polished version.</v>
      </c>
      <c r="G26" s="37" t="str">
        <v>[texte]</v>
      </c>
      <c r="H26" s="37" t="str">
        <v>Microsoft Prompt Gallery / À tester</v>
      </c>
    </row>
    <row r="27" spans="1:8" ht="43.5" x14ac:dyDescent="0.35">
      <c r="A27" s="37">
        <v>1</v>
      </c>
      <c r="B27" s="57" t="str">
        <v>P-020</v>
      </c>
      <c r="C27" s="51" t="str">
        <v>Résumer un document</v>
      </c>
      <c r="D27" s="37" t="str">
        <v>Extraire rapidement l'essentiel</v>
      </c>
      <c r="E27" s="37" t="str">
        <v>Microsoft 365 Copilot / Word / Copilot Chat</v>
      </c>
      <c r="F27" s="37" t="str">
        <v>Summarize this document in a bulleted list of key points. Separate facts, decisions, risks, actions, and unanswered questions.</v>
      </c>
      <c r="G27" s="37" t="str">
        <v>[document]</v>
      </c>
      <c r="H27" s="37" t="str">
        <v>Microsoft Prompt Gallery / À tester</v>
      </c>
    </row>
    <row r="28" spans="1:8" ht="43.5" x14ac:dyDescent="0.35">
      <c r="A28" s="37">
        <v>1</v>
      </c>
      <c r="B28" s="57" t="str">
        <v>P-021</v>
      </c>
      <c r="C28" s="51" t="str">
        <v>Répondre à un e-mail</v>
      </c>
      <c r="D28" s="37" t="str">
        <v>Rédiger une réponse précise et appropriée</v>
      </c>
      <c r="E28" s="37" t="str">
        <v>Microsoft 365 Copilot / Outlook</v>
      </c>
      <c r="F28" s="37" t="str">
        <v>Draft a reply that acknowledges the sender's main points and responds clearly. Use a [tone] tone, keep it under [length], and end with the next action.</v>
      </c>
      <c r="G28" s="37" t="str">
        <v>[ton] [longueur]</v>
      </c>
      <c r="H28" s="37" t="str">
        <v>Microsoft Prompt Gallery / À tester</v>
      </c>
    </row>
    <row r="29" spans="1:8" ht="43.5" x14ac:dyDescent="0.35">
      <c r="A29" s="37">
        <v>1</v>
      </c>
      <c r="B29" s="57" t="str">
        <v>P-022</v>
      </c>
      <c r="C29" s="51" t="str">
        <v>Préparer une passation d'absence</v>
      </c>
      <c r="D29" s="37" t="str">
        <v>Assurer la continuité pendant une absence</v>
      </c>
      <c r="E29" s="37" t="str">
        <v>Microsoft 365 Copilot / Outlook / Teams</v>
      </c>
      <c r="F29" s="37" t="str">
        <v>I'll be out of the office from [date] to [date]. Create a clear handover that lists active topics, status, owners, deadlines, risks, and escalation contacts.</v>
      </c>
      <c r="G29" s="37" t="str">
        <v>[dates] [contacts]</v>
      </c>
      <c r="H29" s="37" t="str">
        <v>Microsoft Prompt Gallery / À tester</v>
      </c>
    </row>
    <row r="30" spans="1:8" ht="43.5" x14ac:dyDescent="0.35">
      <c r="A30" s="37">
        <v>1</v>
      </c>
      <c r="B30" s="57" t="str">
        <v>P-023</v>
      </c>
      <c r="C30" s="51" t="str">
        <v>Comparer plusieurs fichiers</v>
      </c>
      <c r="D30" s="37" t="str">
        <v>Identifier les différences significatives</v>
      </c>
      <c r="E30" s="37" t="str">
        <v>Microsoft 365 Copilot / Copilot Chat / Word</v>
      </c>
      <c r="F30" s="37" t="str">
        <v>Compare these files grouped by differences in formatting, structure, and content. Highlight material changes, contradictions, omissions, and items requiring review.</v>
      </c>
      <c r="G30" s="37" t="str">
        <v>[fichiers]</v>
      </c>
      <c r="H30" s="37" t="str">
        <v>Microsoft Prompt Gallery / À tester</v>
      </c>
    </row>
    <row r="31" spans="1:8" ht="58" x14ac:dyDescent="0.35">
      <c r="A31" s="37">
        <v>1</v>
      </c>
      <c r="B31" s="57" t="str">
        <v>P-024</v>
      </c>
      <c r="C31" s="51" t="str">
        <v>Évaluer une solution IT</v>
      </c>
      <c r="D31" s="37" t="str">
        <v>Créer une analyse de décision structurée</v>
      </c>
      <c r="E31" s="37" t="str">
        <v>Microsoft 365 Copilot / Copilot Chat</v>
      </c>
      <c r="F31" s="37" t="str">
        <v>I am an IT Product Manager evaluating [solution]. Draft an evaluation covering business fit, architecture, integration, security, governance, cost, risks, alternatives, and recommendation.</v>
      </c>
      <c r="G31" s="37" t="str">
        <v>[solution] [contraintes]</v>
      </c>
      <c r="H31" s="37" t="str">
        <v>Microsoft Prompt Gallery / À tester</v>
      </c>
    </row>
    <row r="32" spans="1:8" ht="29" x14ac:dyDescent="0.35">
      <c r="A32" s="37">
        <v>1</v>
      </c>
      <c r="B32" s="57" t="str">
        <v>P-025</v>
      </c>
      <c r="C32" s="51" t="str">
        <v>Renforcer un premier brouillon avec Idea Coach</v>
      </c>
      <c r="D32" s="37" t="str">
        <v>Produire un premier brouillon de présentation plus abouti</v>
      </c>
      <c r="E32" s="37" t="str">
        <v>Microsoft 365 Copilot / Idea Coach / PowerPoint</v>
      </c>
      <c r="F32" s="37" t="str">
        <v>Utiliser Idea Coach pour produire un premier brouillon plus solide et qui necessite moins de révision par la suite.</v>
      </c>
      <c r="G32" s="37" t="str">
        <v>[présentation]</v>
      </c>
      <c r="H32" s="37" t="str">
        <v>PPT — Tableau3 / À tester</v>
      </c>
    </row>
    <row r="33" spans="1:8" ht="29" x14ac:dyDescent="0.35">
      <c r="A33" s="37">
        <v>1</v>
      </c>
      <c r="B33" s="57" t="str">
        <v>P-026</v>
      </c>
      <c r="C33" s="51" t="str">
        <v>Anticiper les questions d’un public exécutif</v>
      </c>
      <c r="D33" s="37" t="str">
        <v>Préparer les questions probables après une diapositive</v>
      </c>
      <c r="E33" s="37" t="str">
        <v>Microsoft 365 Copilot / PowerPoint</v>
      </c>
      <c r="F33" s="37" t="str">
        <v>Quelles sont les questions qu’un public exécutif est susceptible de poser après la diapositive 6 ?</v>
      </c>
      <c r="G33" s="37" t="str">
        <v>[diapositive] [public]</v>
      </c>
      <c r="H33" s="37" t="str">
        <v>PPT — Tableau3 / À tester</v>
      </c>
    </row>
    <row r="34" spans="1:8" ht="29" x14ac:dyDescent="0.35">
      <c r="A34" s="37">
        <v>1</v>
      </c>
      <c r="B34" s="57" t="str">
        <v>P-027</v>
      </c>
      <c r="C34" s="51" t="str">
        <v>Détecter un écart logique entre deux diapositives</v>
      </c>
      <c r="D34" s="37" t="str">
        <v>Renforcer la continuité narrative d’une présentation</v>
      </c>
      <c r="E34" s="37" t="str">
        <v>Microsoft 365 Copilot / PowerPoint</v>
      </c>
      <c r="F34" s="37" t="str">
        <v>Existe-t-il un écart logique entre les diapositives 4 et 5 ? Comment dois-je les relier ?</v>
      </c>
      <c r="G34" s="37" t="str">
        <v>[diapositives]</v>
      </c>
      <c r="H34" s="37" t="str">
        <v>PPT — Tableau3 / À tester</v>
      </c>
    </row>
    <row r="35" spans="1:8" ht="43.5" x14ac:dyDescent="0.35">
      <c r="A35" s="37">
        <v>1</v>
      </c>
      <c r="B35" s="57" t="str">
        <v>P-028</v>
      </c>
      <c r="C35" s="51" t="str">
        <v>Anticiper le pushback et renforcer les preuves</v>
      </c>
      <c r="D35" s="37" t="str">
        <v>Identifier une affirmation fragile et les données nécessaires</v>
      </c>
      <c r="E35" s="37" t="str">
        <v>Microsoft 365 Copilot / PowerPoint</v>
      </c>
      <c r="F35" s="37" t="str">
        <v>Quelle revendication de cette présentation est la plus susceptible de faire l’objet d’un pushback, et quelles données puis-je ajouter pour la prendre en charge ?</v>
      </c>
      <c r="G35" s="37" t="str">
        <v>[présentation] [données]</v>
      </c>
      <c r="H35" s="37" t="str">
        <v>PPT — Tableau3 / À tester</v>
      </c>
    </row>
    <row r="36" spans="1:8" ht="29" x14ac:dyDescent="0.35">
      <c r="A36" s="37">
        <v>1</v>
      </c>
      <c r="B36" s="57" t="str">
        <v>P-029</v>
      </c>
      <c r="C36" s="51" t="str">
        <v>Vérifier l’arc problème-solution-résultat</v>
      </c>
      <c r="D36" s="37" t="str">
        <v>Évaluer la structure narrative d’une présentation</v>
      </c>
      <c r="E36" s="37" t="str">
        <v>Microsoft 365 Copilot / PowerPoint</v>
      </c>
      <c r="F36" s="37" t="str">
        <v>Le flux narratif de ce jeu correspond-il à une structure problème-solution-résultat ?</v>
      </c>
      <c r="G36" s="37" t="str">
        <v>[présentation]</v>
      </c>
      <c r="H36" s="37" t="str">
        <v>PPT — Tableau3 / À tester</v>
      </c>
    </row>
    <row r="37" spans="1:8" ht="58" x14ac:dyDescent="0.35">
      <c r="A37" s="37">
        <v>1</v>
      </c>
      <c r="B37" s="57" t="str">
        <v>P-030</v>
      </c>
      <c r="C37" s="51" t="str">
        <v>Générer un visuel professionnel photoréaliste</v>
      </c>
      <c r="D37" s="37" t="str">
        <v>Créer une image de collaboration autour des données</v>
      </c>
      <c r="E37" s="37" t="str">
        <v>Microsoft 365 Copilot / PowerPoint / Designer</v>
      </c>
      <c r="F37" s="37" t="str">
        <v>Créez une image photoréaliste d’un groupe diversifié de professionnels qui examinent un tableau de bord de données dans un bureau ouvert moderne, à la lumière naturelle chaude et au ton optimiste.</v>
      </c>
      <c r="G37" s="37" t="str">
        <v>[sujet] [style] [ambiance]</v>
      </c>
      <c r="H37" s="37" t="str">
        <v>PPT — Tableau3 / À tester</v>
      </c>
    </row>
    <row r="38" spans="1:8" ht="29" x14ac:dyDescent="0.35">
      <c r="A38" s="37">
        <v>1</v>
      </c>
      <c r="B38" s="57" t="str">
        <v>P-031</v>
      </c>
      <c r="C38" s="51" t="str">
        <v>Résumer les modifications d’une présentation</v>
      </c>
      <c r="D38" s="37" t="str">
        <v>Obtenir une synthèse des changements apportés</v>
      </c>
      <c r="E38" s="37" t="str">
        <v>Microsoft 365 Copilot / PowerPoint</v>
      </c>
      <c r="F38" s="37" t="str">
        <v xml:space="preserve">Résumer les modifications ou un présentation </v>
      </c>
      <c r="G38" s="37" t="str">
        <v>[présentation]</v>
      </c>
      <c r="H38" s="37" t="str">
        <v>PPT — Tableau3 / À tester</v>
      </c>
    </row>
    <row r="39" spans="1:8" ht="29" x14ac:dyDescent="0.35">
      <c r="A39" s="37">
        <v>1</v>
      </c>
      <c r="B39" s="57" t="str">
        <v>P-032</v>
      </c>
      <c r="C39" s="51" t="str">
        <v>Générer des notes du présentateur concises</v>
      </c>
      <c r="D39" s="37" t="str">
        <v>Créer des notes à puces qui complètent les diapositives</v>
      </c>
      <c r="E39" s="37" t="str">
        <v>Microsoft 365 Copilot / PowerPoint</v>
      </c>
      <c r="F39" s="37" t="str">
        <v>Aucun résultat : simplifiez la recherche ou retirez un filtre</v>
      </c>
      <c r="G39" s="37" t="str">
        <v>[présentation] [public]</v>
      </c>
      <c r="H39" s="37" t="str">
        <v>PPT — Tableau3 / À tester</v>
      </c>
    </row>
    <row r="40" spans="1:8" ht="58" x14ac:dyDescent="0.35">
      <c r="A40" s="37">
        <v>1</v>
      </c>
      <c r="B40" s="57" t="str">
        <v>P-033</v>
      </c>
      <c r="C40" s="51" t="str">
        <v>Rendre les notes plus conversationnelles</v>
      </c>
      <c r="D40" s="37" t="str">
        <v>Adapter le ton des notes à une réunion interne</v>
      </c>
      <c r="E40" s="37" t="str">
        <v>Microsoft 365 Copilot / PowerPoint</v>
      </c>
      <c r="F40" s="37" t="str">
        <v>Réécrire les notes de l’orateur sur cette diapositive pour qu’elles semblent plus conversationnelles. Cette réunion est une mise à jour interne de la direction, et non une présentation officielle du conseil d’administration.</v>
      </c>
      <c r="G40" s="37" t="str">
        <v>[diapositive] [ton]</v>
      </c>
      <c r="H40" s="37" t="str">
        <v>PPT — Tableau3 / À tester</v>
      </c>
    </row>
    <row r="41" spans="1:8" ht="58" x14ac:dyDescent="0.35">
      <c r="A41" s="37">
        <v>1</v>
      </c>
      <c r="B41" s="57" t="str">
        <v>P-034</v>
      </c>
      <c r="C41" s="51" t="str">
        <v>Renforcer l’autorité des notes pour un directeur financier</v>
      </c>
      <c r="D41" s="37" t="str">
        <v>Projeter de la confiance lors d’une présentation financière</v>
      </c>
      <c r="E41" s="37" t="str">
        <v>Microsoft 365 Copilot / PowerPoint</v>
      </c>
      <c r="F41" s="37" t="str">
        <v>Faites en sorte que les notes de la diapositive 8 fassent autorité. Je présente des chiffres de retour sur investissement à un directeur financier et j’ai besoin de projeter la confiance.</v>
      </c>
      <c r="G41" s="37" t="str">
        <v>[diapositive] [public]</v>
      </c>
      <c r="H41" s="37" t="str">
        <v>PPT — Tableau3 / À tester</v>
      </c>
    </row>
    <row r="42" spans="1:8" ht="29" x14ac:dyDescent="0.35">
      <c r="A42" s="37">
        <v>1</v>
      </c>
      <c r="B42" s="57" t="str">
        <v>P-035</v>
      </c>
      <c r="C42" s="51" t="str">
        <v>Condenser les notes en trois puces</v>
      </c>
      <c r="D42" s="37" t="str">
        <v>Réduire les notes pour faciliter la prise de parole</v>
      </c>
      <c r="E42" s="37" t="str">
        <v>Microsoft 365 Copilot / PowerPoint</v>
      </c>
      <c r="F42" s="37" t="str">
        <v>Condensez les notes de la diapositive 3 à trois puces que je peux regarder tout en parlant.</v>
      </c>
      <c r="G42" s="37" t="str">
        <v>[diapositive] [longueur]</v>
      </c>
      <c r="H42" s="37" t="str">
        <v>PPT — Tableau3 / À tester</v>
      </c>
    </row>
    <row r="43" spans="1:8" ht="43.5" x14ac:dyDescent="0.35">
      <c r="A43" s="37">
        <v>1</v>
      </c>
      <c r="B43" s="57" t="str">
        <v>P-036</v>
      </c>
      <c r="C43" s="51" t="str">
        <v>Développer les notes avec le contexte APAC</v>
      </c>
      <c r="D43" s="37" t="str">
        <v>Ajouter du contexte pour répondre aux questions de suivi</v>
      </c>
      <c r="E43" s="37" t="str">
        <v>Microsoft 365 Copilot / PowerPoint</v>
      </c>
      <c r="F43" s="37" t="str">
        <v>Développez les notes de la diapositive 6. J’ai besoin de plus de contexte sur les données du marché de l’APAC afin de pouvoir répondre aux questions de suivi.</v>
      </c>
      <c r="G43" s="37" t="str">
        <v>[diapositive] [marché]</v>
      </c>
      <c r="H43" s="37" t="str">
        <v>PPT — Tableau3 / À tester</v>
      </c>
    </row>
    <row r="44" spans="1:8" ht="43.5" x14ac:dyDescent="0.35">
      <c r="A44" s="37">
        <v>1</v>
      </c>
      <c r="B44" s="57" t="str">
        <v>P-037</v>
      </c>
      <c r="C44" s="51" t="str">
        <v>Adapter les notes à un public technique</v>
      </c>
      <c r="D44" s="37" t="str">
        <v>Réécrire les notes pour des responsables techniques</v>
      </c>
      <c r="E44" s="37" t="str">
        <v>Microsoft 365 Copilot / PowerPoint</v>
      </c>
      <c r="F44" s="37" t="str">
        <v>Réécrire les notes de l’orateur sur la diapositive 5 comme si je fais une présentation à des responsables techniques qui posent des questions détaillées sur la mise en œuvre.</v>
      </c>
      <c r="G44" s="37" t="str">
        <v>[diapositive] [public]</v>
      </c>
      <c r="H44" s="37" t="str">
        <v>PPT — Tableau3 / À tester</v>
      </c>
    </row>
    <row r="45" spans="1:8" ht="43.5" x14ac:dyDescent="0.35">
      <c r="A45" s="37">
        <v>1</v>
      </c>
      <c r="B45" s="57" t="str">
        <v>P-038</v>
      </c>
      <c r="C45" s="51" t="str">
        <v>Simplifier les notes pour des non-anglophones</v>
      </c>
      <c r="D45" s="37" t="str">
        <v>Rendre les notes accessibles avec une formulation simple</v>
      </c>
      <c r="E45" s="37" t="str">
        <v>Microsoft 365 Copilot / PowerPoint</v>
      </c>
      <c r="F45" s="37" t="str">
        <v>Simplifiez la langue dans les notes de la diapositive 10. Mon public comprend des anglophones non natifs et je veux une formulation simple.</v>
      </c>
      <c r="G45" s="37" t="str">
        <v>[diapositive] [public]</v>
      </c>
      <c r="H45" s="37" t="str">
        <v>PPT — Tableau3 / À tester</v>
      </c>
    </row>
    <row r="46" spans="1:8" ht="43.5" x14ac:dyDescent="0.35">
      <c r="A46" s="37">
        <v>1</v>
      </c>
      <c r="B46" s="57" t="str">
        <v>P-039</v>
      </c>
      <c r="C46" s="51" t="str">
        <v>Ajouter une transition entre diapositives</v>
      </c>
      <c r="D46" s="37" t="str">
        <v>Relier naturellement deux parties de la présentation</v>
      </c>
      <c r="E46" s="37" t="str">
        <v>Microsoft 365 Copilot / PowerPoint</v>
      </c>
      <c r="F46" s="37" t="str">
        <v>Ajoutez une phrase de transition à la fin des notes de la diapositive 4 qui mène naturellement à la projection financière de la diapositive 5.</v>
      </c>
      <c r="G46" s="37" t="str">
        <v>[diapositives]</v>
      </c>
      <c r="H46" s="37" t="str">
        <v>PPT — Tableau3 / À tester</v>
      </c>
    </row>
    <row r="47" spans="1:8" ht="43.5" x14ac:dyDescent="0.35">
      <c r="A47" s="37">
        <v>1</v>
      </c>
      <c r="B47" s="57" t="str">
        <v>P-040</v>
      </c>
      <c r="C47" s="51" t="str">
        <v>Ajouter une pause et inviter aux questions</v>
      </c>
      <c r="D47" s="37" t="str">
        <v>Créer un moment d’interaction avec le public</v>
      </c>
      <c r="E47" s="37" t="str">
        <v>Microsoft 365 Copilot / PowerPoint</v>
      </c>
      <c r="F47" s="37" t="str">
        <v>Ajoutez un point de pause suggéré et une invite de questions dans les notes de la diapositive 7 pour inviter le public à réagir.</v>
      </c>
      <c r="G47" s="37" t="str">
        <v>[diapositive] [public]</v>
      </c>
      <c r="H47" s="37" t="str">
        <v>PPT — Tableau3 / À tester</v>
      </c>
    </row>
    <row r="48" spans="1:8" x14ac:dyDescent="0.35">
      <c r="A48" s="1"/>
      <c r="B48" s="1"/>
      <c r="C48" s="1"/>
      <c r="D48" s="1"/>
      <c r="E48" s="1"/>
      <c r="F48" s="1"/>
      <c r="G48" s="1"/>
      <c r="H48" s="1"/>
    </row>
    <row r="49" spans="1:8" x14ac:dyDescent="0.35">
      <c r="A49" s="1"/>
      <c r="B49" s="1"/>
      <c r="C49" s="1"/>
      <c r="D49" s="1"/>
      <c r="E49" s="1"/>
      <c r="F49" s="1"/>
      <c r="G49" s="1"/>
      <c r="H49" s="1"/>
    </row>
    <row r="50" spans="1:8" x14ac:dyDescent="0.35">
      <c r="A50" s="112" t="s">
        <v>957</v>
      </c>
      <c r="B50" s="112"/>
      <c r="C50" s="112"/>
      <c r="D50" s="112"/>
      <c r="E50" s="112"/>
      <c r="F50" s="112"/>
      <c r="G50" s="112"/>
      <c r="H50" s="112"/>
    </row>
    <row r="51" spans="1:8" x14ac:dyDescent="0.35">
      <c r="A51" s="125" t="s">
        <v>958</v>
      </c>
      <c r="B51" s="125"/>
      <c r="C51" s="125"/>
      <c r="D51" s="125"/>
      <c r="E51" s="125"/>
      <c r="F51" s="125"/>
      <c r="G51" s="125"/>
      <c r="H51" s="125"/>
    </row>
  </sheetData>
  <mergeCells count="5">
    <mergeCell ref="A50:H50"/>
    <mergeCell ref="A51:H51"/>
    <mergeCell ref="A1:H1"/>
    <mergeCell ref="A2:H2"/>
    <mergeCell ref="B4:H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C63FD-035B-4E0C-9B6E-2D06698358C7}">
  <sheetPr>
    <tabColor rgb="FFFF4FB8"/>
  </sheetPr>
  <dimension ref="A1:U44"/>
  <sheetViews>
    <sheetView showGridLines="0" workbookViewId="0">
      <pane ySplit="4" topLeftCell="A5" activePane="bottomLeft" state="frozen"/>
      <selection pane="bottomLeft" activeCell="A2" sqref="A2:U2"/>
    </sheetView>
  </sheetViews>
  <sheetFormatPr baseColWidth="10" defaultRowHeight="14.5" x14ac:dyDescent="0.35"/>
  <cols>
    <col min="1" max="1" width="5.90625" bestFit="1" customWidth="1"/>
    <col min="2" max="8" width="25.453125" customWidth="1"/>
    <col min="9" max="9" width="36.36328125" customWidth="1"/>
    <col min="10" max="10" width="25.453125" customWidth="1"/>
    <col min="11" max="12" width="36.36328125" customWidth="1"/>
    <col min="13" max="21" width="25.453125" customWidth="1"/>
  </cols>
  <sheetData>
    <row r="1" spans="1:21" ht="25" thickBot="1" x14ac:dyDescent="0.6">
      <c r="A1" s="130" t="s">
        <v>699</v>
      </c>
      <c r="B1" s="130"/>
      <c r="C1" s="130"/>
      <c r="D1" s="130"/>
      <c r="E1" s="130"/>
      <c r="F1" s="130"/>
      <c r="G1" s="130"/>
      <c r="H1" s="130"/>
      <c r="I1" s="130"/>
      <c r="J1" s="130"/>
      <c r="K1" s="130"/>
      <c r="L1" s="130"/>
      <c r="M1" s="130"/>
      <c r="N1" s="130"/>
      <c r="O1" s="130"/>
      <c r="P1" s="130"/>
      <c r="Q1" s="130"/>
      <c r="R1" s="130"/>
      <c r="S1" s="130"/>
      <c r="T1" s="130"/>
      <c r="U1" s="130"/>
    </row>
    <row r="2" spans="1:21" ht="15" thickTop="1" x14ac:dyDescent="0.35">
      <c r="A2" s="131" t="s">
        <v>700</v>
      </c>
      <c r="B2" s="131"/>
      <c r="C2" s="131"/>
      <c r="D2" s="131"/>
      <c r="E2" s="131"/>
      <c r="F2" s="131"/>
      <c r="G2" s="131"/>
      <c r="H2" s="131"/>
      <c r="I2" s="131"/>
      <c r="J2" s="131"/>
      <c r="K2" s="131"/>
      <c r="L2" s="131"/>
      <c r="M2" s="131"/>
      <c r="N2" s="131"/>
      <c r="O2" s="131"/>
      <c r="P2" s="131"/>
      <c r="Q2" s="131"/>
      <c r="R2" s="131"/>
      <c r="S2" s="131"/>
      <c r="T2" s="131"/>
      <c r="U2" s="131"/>
    </row>
    <row r="3" spans="1:21" x14ac:dyDescent="0.35">
      <c r="A3" s="63"/>
      <c r="B3" s="63"/>
      <c r="C3" s="63"/>
      <c r="D3" s="63"/>
      <c r="E3" s="63"/>
      <c r="F3" s="63"/>
      <c r="G3" s="63"/>
      <c r="H3" s="63"/>
      <c r="I3" s="63"/>
      <c r="J3" s="63"/>
      <c r="K3" s="63"/>
      <c r="L3" s="63"/>
      <c r="M3" s="63"/>
      <c r="N3" s="63"/>
      <c r="O3" s="63"/>
      <c r="P3" s="63"/>
      <c r="Q3" s="63"/>
      <c r="R3" s="63"/>
      <c r="S3" s="63"/>
      <c r="T3" s="63"/>
      <c r="U3" s="63"/>
    </row>
    <row r="4" spans="1:21" x14ac:dyDescent="0.35">
      <c r="A4" s="71" t="s">
        <v>701</v>
      </c>
      <c r="B4" s="71" t="s">
        <v>441</v>
      </c>
      <c r="C4" s="71" t="s">
        <v>702</v>
      </c>
      <c r="D4" s="71" t="s">
        <v>90</v>
      </c>
      <c r="E4" s="71" t="s">
        <v>703</v>
      </c>
      <c r="F4" s="71" t="s">
        <v>97</v>
      </c>
      <c r="G4" s="71" t="s">
        <v>704</v>
      </c>
      <c r="H4" s="71" t="s">
        <v>705</v>
      </c>
      <c r="I4" s="71" t="s">
        <v>4</v>
      </c>
      <c r="J4" s="71" t="s">
        <v>706</v>
      </c>
      <c r="K4" s="71" t="s">
        <v>707</v>
      </c>
      <c r="L4" s="71" t="s">
        <v>708</v>
      </c>
      <c r="M4" s="71" t="s">
        <v>1125</v>
      </c>
      <c r="N4" s="71" t="s">
        <v>709</v>
      </c>
      <c r="O4" s="71" t="s">
        <v>710</v>
      </c>
      <c r="P4" s="71" t="s">
        <v>711</v>
      </c>
      <c r="Q4" s="71" t="s">
        <v>712</v>
      </c>
      <c r="R4" s="71" t="s">
        <v>713</v>
      </c>
      <c r="S4" s="71" t="s">
        <v>714</v>
      </c>
      <c r="T4" s="71" t="s">
        <v>715</v>
      </c>
      <c r="U4" s="71" t="s">
        <v>716</v>
      </c>
    </row>
    <row r="5" spans="1:21" ht="43.5" x14ac:dyDescent="0.35">
      <c r="A5" s="72" t="s">
        <v>717</v>
      </c>
      <c r="B5" s="73" t="s">
        <v>718</v>
      </c>
      <c r="C5" s="63" t="s">
        <v>719</v>
      </c>
      <c r="D5" s="63" t="s">
        <v>720</v>
      </c>
      <c r="E5" s="63" t="s">
        <v>721</v>
      </c>
      <c r="F5" s="63" t="s">
        <v>88</v>
      </c>
      <c r="G5" s="63" t="s">
        <v>106</v>
      </c>
      <c r="H5" s="63" t="s">
        <v>722</v>
      </c>
      <c r="I5" s="74" t="s">
        <v>723</v>
      </c>
      <c r="J5" s="63" t="s">
        <v>724</v>
      </c>
      <c r="K5" s="63" t="s">
        <v>725</v>
      </c>
      <c r="L5" s="63" t="s">
        <v>726</v>
      </c>
      <c r="M5" s="63" t="s">
        <v>1122</v>
      </c>
      <c r="N5" s="63" t="s">
        <v>727</v>
      </c>
      <c r="O5" s="63" t="s">
        <v>728</v>
      </c>
      <c r="P5" s="63" t="s">
        <v>729</v>
      </c>
      <c r="Q5" s="63" t="s">
        <v>84</v>
      </c>
      <c r="R5" s="63" t="s">
        <v>730</v>
      </c>
      <c r="S5" s="70">
        <v>46247</v>
      </c>
      <c r="T5" s="75" t="s">
        <v>731</v>
      </c>
      <c r="U5" s="63" t="s">
        <v>732</v>
      </c>
    </row>
    <row r="6" spans="1:21" ht="58" x14ac:dyDescent="0.35">
      <c r="A6" s="72" t="s">
        <v>733</v>
      </c>
      <c r="B6" s="73" t="s">
        <v>734</v>
      </c>
      <c r="C6" s="63" t="s">
        <v>735</v>
      </c>
      <c r="D6" s="63" t="s">
        <v>720</v>
      </c>
      <c r="E6" s="63" t="s">
        <v>99</v>
      </c>
      <c r="F6" s="63" t="s">
        <v>88</v>
      </c>
      <c r="G6" s="63" t="s">
        <v>106</v>
      </c>
      <c r="H6" s="63" t="s">
        <v>722</v>
      </c>
      <c r="I6" s="74" t="s">
        <v>736</v>
      </c>
      <c r="J6" s="63" t="s">
        <v>737</v>
      </c>
      <c r="K6" s="63" t="s">
        <v>738</v>
      </c>
      <c r="L6" s="63" t="s">
        <v>739</v>
      </c>
      <c r="M6" s="63" t="s">
        <v>1122</v>
      </c>
      <c r="N6" s="63" t="s">
        <v>740</v>
      </c>
      <c r="O6" s="63" t="s">
        <v>728</v>
      </c>
      <c r="P6" s="63" t="s">
        <v>729</v>
      </c>
      <c r="Q6" s="63" t="s">
        <v>84</v>
      </c>
      <c r="R6" s="63" t="s">
        <v>730</v>
      </c>
      <c r="S6" s="70">
        <v>46247</v>
      </c>
      <c r="T6" s="75" t="s">
        <v>731</v>
      </c>
      <c r="U6" s="63" t="s">
        <v>732</v>
      </c>
    </row>
    <row r="7" spans="1:21" ht="58" x14ac:dyDescent="0.35">
      <c r="A7" s="72" t="s">
        <v>741</v>
      </c>
      <c r="B7" s="73" t="s">
        <v>742</v>
      </c>
      <c r="C7" s="63" t="s">
        <v>743</v>
      </c>
      <c r="D7" s="63" t="s">
        <v>744</v>
      </c>
      <c r="E7" s="63" t="s">
        <v>745</v>
      </c>
      <c r="F7" s="63" t="s">
        <v>88</v>
      </c>
      <c r="G7" s="63" t="s">
        <v>106</v>
      </c>
      <c r="H7" s="63" t="s">
        <v>746</v>
      </c>
      <c r="I7" s="74" t="s">
        <v>747</v>
      </c>
      <c r="J7" s="63" t="s">
        <v>748</v>
      </c>
      <c r="K7" s="63" t="s">
        <v>749</v>
      </c>
      <c r="L7" s="63" t="s">
        <v>750</v>
      </c>
      <c r="M7" s="63" t="s">
        <v>1123</v>
      </c>
      <c r="N7" s="63" t="s">
        <v>751</v>
      </c>
      <c r="O7" s="63" t="s">
        <v>728</v>
      </c>
      <c r="P7" s="63" t="s">
        <v>729</v>
      </c>
      <c r="Q7" s="63" t="s">
        <v>84</v>
      </c>
      <c r="R7" s="63" t="s">
        <v>730</v>
      </c>
      <c r="S7" s="70">
        <v>46247</v>
      </c>
      <c r="T7" s="75" t="s">
        <v>731</v>
      </c>
      <c r="U7" s="63" t="s">
        <v>732</v>
      </c>
    </row>
    <row r="8" spans="1:21" ht="58" x14ac:dyDescent="0.35">
      <c r="A8" s="72" t="s">
        <v>752</v>
      </c>
      <c r="B8" s="73" t="s">
        <v>753</v>
      </c>
      <c r="C8" s="63" t="s">
        <v>754</v>
      </c>
      <c r="D8" s="63" t="s">
        <v>755</v>
      </c>
      <c r="E8" s="63" t="s">
        <v>756</v>
      </c>
      <c r="F8" s="63" t="s">
        <v>88</v>
      </c>
      <c r="G8" s="63" t="s">
        <v>106</v>
      </c>
      <c r="H8" s="63" t="s">
        <v>722</v>
      </c>
      <c r="I8" s="74" t="s">
        <v>757</v>
      </c>
      <c r="J8" s="63" t="s">
        <v>758</v>
      </c>
      <c r="K8" s="63" t="s">
        <v>759</v>
      </c>
      <c r="L8" s="63" t="s">
        <v>760</v>
      </c>
      <c r="M8" s="63" t="s">
        <v>1124</v>
      </c>
      <c r="N8" s="63" t="s">
        <v>761</v>
      </c>
      <c r="O8" s="63" t="s">
        <v>728</v>
      </c>
      <c r="P8" s="63" t="s">
        <v>729</v>
      </c>
      <c r="Q8" s="63" t="s">
        <v>84</v>
      </c>
      <c r="R8" s="63" t="s">
        <v>730</v>
      </c>
      <c r="S8" s="70">
        <v>46247</v>
      </c>
      <c r="T8" s="75" t="s">
        <v>731</v>
      </c>
      <c r="U8" s="63" t="s">
        <v>732</v>
      </c>
    </row>
    <row r="9" spans="1:21" ht="58" x14ac:dyDescent="0.35">
      <c r="A9" s="72" t="s">
        <v>762</v>
      </c>
      <c r="B9" s="73" t="s">
        <v>763</v>
      </c>
      <c r="C9" s="63" t="s">
        <v>764</v>
      </c>
      <c r="D9" s="63" t="s">
        <v>755</v>
      </c>
      <c r="E9" s="63" t="s">
        <v>765</v>
      </c>
      <c r="F9" s="63" t="s">
        <v>88</v>
      </c>
      <c r="G9" s="63" t="s">
        <v>106</v>
      </c>
      <c r="H9" s="63" t="s">
        <v>766</v>
      </c>
      <c r="I9" s="74" t="s">
        <v>767</v>
      </c>
      <c r="J9" s="63" t="s">
        <v>768</v>
      </c>
      <c r="K9" s="63" t="s">
        <v>769</v>
      </c>
      <c r="L9" s="63" t="s">
        <v>770</v>
      </c>
      <c r="M9" s="63" t="s">
        <v>1124</v>
      </c>
      <c r="N9" s="63" t="s">
        <v>771</v>
      </c>
      <c r="O9" s="63" t="s">
        <v>728</v>
      </c>
      <c r="P9" s="63" t="s">
        <v>729</v>
      </c>
      <c r="Q9" s="63" t="s">
        <v>84</v>
      </c>
      <c r="R9" s="63" t="s">
        <v>730</v>
      </c>
      <c r="S9" s="70">
        <v>46247</v>
      </c>
      <c r="T9" s="75" t="s">
        <v>731</v>
      </c>
      <c r="U9" s="63" t="s">
        <v>732</v>
      </c>
    </row>
    <row r="10" spans="1:21" ht="72.5" x14ac:dyDescent="0.35">
      <c r="A10" s="72" t="s">
        <v>772</v>
      </c>
      <c r="B10" s="73" t="s">
        <v>773</v>
      </c>
      <c r="C10" s="63" t="s">
        <v>774</v>
      </c>
      <c r="D10" s="63" t="s">
        <v>775</v>
      </c>
      <c r="E10" s="63" t="s">
        <v>776</v>
      </c>
      <c r="F10" s="63" t="s">
        <v>88</v>
      </c>
      <c r="G10" s="63" t="s">
        <v>777</v>
      </c>
      <c r="H10" s="63" t="s">
        <v>778</v>
      </c>
      <c r="I10" s="74" t="s">
        <v>779</v>
      </c>
      <c r="J10" s="63" t="s">
        <v>780</v>
      </c>
      <c r="K10" s="63" t="s">
        <v>781</v>
      </c>
      <c r="L10" s="63" t="s">
        <v>782</v>
      </c>
      <c r="M10" s="63" t="s">
        <v>1122</v>
      </c>
      <c r="N10" s="63" t="s">
        <v>783</v>
      </c>
      <c r="O10" s="63" t="s">
        <v>728</v>
      </c>
      <c r="P10" s="63" t="s">
        <v>729</v>
      </c>
      <c r="Q10" s="63" t="s">
        <v>84</v>
      </c>
      <c r="R10" s="63" t="s">
        <v>730</v>
      </c>
      <c r="S10" s="70">
        <v>46247</v>
      </c>
      <c r="T10" s="75" t="s">
        <v>731</v>
      </c>
      <c r="U10" s="63" t="s">
        <v>732</v>
      </c>
    </row>
    <row r="11" spans="1:21" ht="58" x14ac:dyDescent="0.35">
      <c r="A11" s="72" t="s">
        <v>784</v>
      </c>
      <c r="B11" s="73" t="s">
        <v>785</v>
      </c>
      <c r="C11" s="63" t="s">
        <v>786</v>
      </c>
      <c r="D11" s="63" t="s">
        <v>775</v>
      </c>
      <c r="E11" s="63" t="s">
        <v>776</v>
      </c>
      <c r="F11" s="63" t="s">
        <v>88</v>
      </c>
      <c r="G11" s="63" t="s">
        <v>777</v>
      </c>
      <c r="H11" s="63" t="s">
        <v>98</v>
      </c>
      <c r="I11" s="74" t="s">
        <v>787</v>
      </c>
      <c r="J11" s="63" t="s">
        <v>780</v>
      </c>
      <c r="K11" s="63" t="s">
        <v>781</v>
      </c>
      <c r="L11" s="63" t="s">
        <v>788</v>
      </c>
      <c r="M11" s="63" t="s">
        <v>1122</v>
      </c>
      <c r="N11" s="63" t="s">
        <v>789</v>
      </c>
      <c r="O11" s="63" t="s">
        <v>728</v>
      </c>
      <c r="P11" s="63" t="s">
        <v>729</v>
      </c>
      <c r="Q11" s="63" t="s">
        <v>84</v>
      </c>
      <c r="R11" s="63" t="s">
        <v>730</v>
      </c>
      <c r="S11" s="70">
        <v>46247</v>
      </c>
      <c r="T11" s="75" t="s">
        <v>731</v>
      </c>
      <c r="U11" s="63" t="s">
        <v>732</v>
      </c>
    </row>
    <row r="12" spans="1:21" ht="72.5" x14ac:dyDescent="0.35">
      <c r="A12" s="72" t="s">
        <v>790</v>
      </c>
      <c r="B12" s="73" t="s">
        <v>791</v>
      </c>
      <c r="C12" s="63" t="s">
        <v>792</v>
      </c>
      <c r="D12" s="63" t="s">
        <v>775</v>
      </c>
      <c r="E12" s="63" t="s">
        <v>776</v>
      </c>
      <c r="F12" s="63" t="s">
        <v>88</v>
      </c>
      <c r="G12" s="63" t="s">
        <v>777</v>
      </c>
      <c r="H12" s="63" t="s">
        <v>793</v>
      </c>
      <c r="I12" s="74" t="s">
        <v>794</v>
      </c>
      <c r="J12" s="63" t="s">
        <v>795</v>
      </c>
      <c r="K12" s="63" t="s">
        <v>781</v>
      </c>
      <c r="L12" s="63" t="s">
        <v>796</v>
      </c>
      <c r="M12" s="63" t="s">
        <v>1123</v>
      </c>
      <c r="N12" s="63" t="s">
        <v>797</v>
      </c>
      <c r="O12" s="63" t="s">
        <v>728</v>
      </c>
      <c r="P12" s="63" t="s">
        <v>729</v>
      </c>
      <c r="Q12" s="63" t="s">
        <v>84</v>
      </c>
      <c r="R12" s="63" t="s">
        <v>730</v>
      </c>
      <c r="S12" s="70">
        <v>46247</v>
      </c>
      <c r="T12" s="75" t="s">
        <v>731</v>
      </c>
      <c r="U12" s="63" t="s">
        <v>732</v>
      </c>
    </row>
    <row r="13" spans="1:21" ht="72.5" x14ac:dyDescent="0.35">
      <c r="A13" s="72" t="s">
        <v>798</v>
      </c>
      <c r="B13" s="73" t="s">
        <v>799</v>
      </c>
      <c r="C13" s="63" t="s">
        <v>800</v>
      </c>
      <c r="D13" s="63" t="s">
        <v>801</v>
      </c>
      <c r="E13" s="63" t="s">
        <v>802</v>
      </c>
      <c r="F13" s="63" t="s">
        <v>88</v>
      </c>
      <c r="G13" s="63" t="s">
        <v>803</v>
      </c>
      <c r="H13" s="63" t="s">
        <v>804</v>
      </c>
      <c r="I13" s="74" t="s">
        <v>805</v>
      </c>
      <c r="J13" s="63" t="s">
        <v>806</v>
      </c>
      <c r="K13" s="63" t="s">
        <v>807</v>
      </c>
      <c r="L13" s="63" t="s">
        <v>808</v>
      </c>
      <c r="M13" s="63" t="s">
        <v>1123</v>
      </c>
      <c r="N13" s="63" t="s">
        <v>809</v>
      </c>
      <c r="O13" s="63" t="s">
        <v>728</v>
      </c>
      <c r="P13" s="63" t="s">
        <v>729</v>
      </c>
      <c r="Q13" s="63" t="s">
        <v>84</v>
      </c>
      <c r="R13" s="63" t="s">
        <v>730</v>
      </c>
      <c r="S13" s="70">
        <v>46247</v>
      </c>
      <c r="T13" s="75" t="s">
        <v>731</v>
      </c>
      <c r="U13" s="63" t="s">
        <v>732</v>
      </c>
    </row>
    <row r="14" spans="1:21" ht="58" x14ac:dyDescent="0.35">
      <c r="A14" s="72" t="s">
        <v>810</v>
      </c>
      <c r="B14" s="73" t="s">
        <v>811</v>
      </c>
      <c r="C14" s="63" t="s">
        <v>812</v>
      </c>
      <c r="D14" s="63" t="s">
        <v>801</v>
      </c>
      <c r="E14" s="63" t="s">
        <v>776</v>
      </c>
      <c r="F14" s="63" t="s">
        <v>88</v>
      </c>
      <c r="G14" s="63" t="s">
        <v>92</v>
      </c>
      <c r="H14" s="63" t="s">
        <v>813</v>
      </c>
      <c r="I14" s="74" t="s">
        <v>814</v>
      </c>
      <c r="J14" s="63" t="s">
        <v>815</v>
      </c>
      <c r="K14" s="63" t="s">
        <v>816</v>
      </c>
      <c r="L14" s="63" t="s">
        <v>817</v>
      </c>
      <c r="M14" s="63" t="s">
        <v>1122</v>
      </c>
      <c r="N14" s="63" t="s">
        <v>818</v>
      </c>
      <c r="O14" s="63" t="s">
        <v>728</v>
      </c>
      <c r="P14" s="63" t="s">
        <v>729</v>
      </c>
      <c r="Q14" s="63" t="s">
        <v>84</v>
      </c>
      <c r="R14" s="63" t="s">
        <v>730</v>
      </c>
      <c r="S14" s="70">
        <v>46247</v>
      </c>
      <c r="T14" s="75" t="s">
        <v>731</v>
      </c>
      <c r="U14" s="63" t="s">
        <v>732</v>
      </c>
    </row>
    <row r="15" spans="1:21" ht="58" x14ac:dyDescent="0.35">
      <c r="A15" s="72" t="s">
        <v>819</v>
      </c>
      <c r="B15" s="73" t="s">
        <v>820</v>
      </c>
      <c r="C15" s="63" t="s">
        <v>821</v>
      </c>
      <c r="D15" s="63" t="s">
        <v>801</v>
      </c>
      <c r="E15" s="63" t="s">
        <v>776</v>
      </c>
      <c r="F15" s="63" t="s">
        <v>88</v>
      </c>
      <c r="G15" s="63" t="s">
        <v>92</v>
      </c>
      <c r="H15" s="63" t="s">
        <v>813</v>
      </c>
      <c r="I15" s="74" t="s">
        <v>822</v>
      </c>
      <c r="J15" s="63" t="s">
        <v>815</v>
      </c>
      <c r="K15" s="63" t="s">
        <v>816</v>
      </c>
      <c r="L15" s="63" t="s">
        <v>823</v>
      </c>
      <c r="M15" s="63" t="s">
        <v>1122</v>
      </c>
      <c r="N15" s="63" t="s">
        <v>824</v>
      </c>
      <c r="O15" s="63" t="s">
        <v>728</v>
      </c>
      <c r="P15" s="63" t="s">
        <v>729</v>
      </c>
      <c r="Q15" s="63" t="s">
        <v>84</v>
      </c>
      <c r="R15" s="63" t="s">
        <v>730</v>
      </c>
      <c r="S15" s="70">
        <v>46247</v>
      </c>
      <c r="T15" s="75" t="s">
        <v>731</v>
      </c>
      <c r="U15" s="63" t="s">
        <v>732</v>
      </c>
    </row>
    <row r="16" spans="1:21" ht="58" x14ac:dyDescent="0.35">
      <c r="A16" s="72" t="s">
        <v>825</v>
      </c>
      <c r="B16" s="73" t="s">
        <v>826</v>
      </c>
      <c r="C16" s="63" t="s">
        <v>827</v>
      </c>
      <c r="D16" s="63" t="s">
        <v>828</v>
      </c>
      <c r="E16" s="63" t="s">
        <v>829</v>
      </c>
      <c r="F16" s="63" t="s">
        <v>88</v>
      </c>
      <c r="G16" s="63" t="s">
        <v>830</v>
      </c>
      <c r="H16" s="63" t="s">
        <v>778</v>
      </c>
      <c r="I16" s="74" t="s">
        <v>831</v>
      </c>
      <c r="J16" s="63" t="s">
        <v>832</v>
      </c>
      <c r="K16" s="63" t="s">
        <v>833</v>
      </c>
      <c r="L16" s="63" t="s">
        <v>834</v>
      </c>
      <c r="M16" s="63" t="s">
        <v>1123</v>
      </c>
      <c r="N16" s="63" t="s">
        <v>835</v>
      </c>
      <c r="O16" s="63" t="s">
        <v>728</v>
      </c>
      <c r="P16" s="63" t="s">
        <v>729</v>
      </c>
      <c r="Q16" s="63" t="s">
        <v>84</v>
      </c>
      <c r="R16" s="63" t="s">
        <v>730</v>
      </c>
      <c r="S16" s="70">
        <v>46247</v>
      </c>
      <c r="T16" s="75" t="s">
        <v>731</v>
      </c>
      <c r="U16" s="63" t="s">
        <v>732</v>
      </c>
    </row>
    <row r="17" spans="1:21" ht="72.5" x14ac:dyDescent="0.35">
      <c r="A17" s="72" t="s">
        <v>836</v>
      </c>
      <c r="B17" s="73" t="s">
        <v>837</v>
      </c>
      <c r="C17" s="63" t="s">
        <v>838</v>
      </c>
      <c r="D17" s="63" t="s">
        <v>74</v>
      </c>
      <c r="E17" s="63" t="s">
        <v>839</v>
      </c>
      <c r="F17" s="63" t="s">
        <v>88</v>
      </c>
      <c r="G17" s="63" t="s">
        <v>85</v>
      </c>
      <c r="H17" s="63" t="s">
        <v>840</v>
      </c>
      <c r="I17" s="74" t="s">
        <v>841</v>
      </c>
      <c r="J17" s="63" t="s">
        <v>842</v>
      </c>
      <c r="K17" s="63" t="s">
        <v>843</v>
      </c>
      <c r="L17" s="63" t="s">
        <v>844</v>
      </c>
      <c r="M17" s="63" t="s">
        <v>1124</v>
      </c>
      <c r="N17" s="63" t="s">
        <v>845</v>
      </c>
      <c r="O17" s="63" t="s">
        <v>728</v>
      </c>
      <c r="P17" s="63" t="s">
        <v>729</v>
      </c>
      <c r="Q17" s="63" t="s">
        <v>84</v>
      </c>
      <c r="R17" s="63" t="s">
        <v>730</v>
      </c>
      <c r="S17" s="70">
        <v>46247</v>
      </c>
      <c r="T17" s="75" t="s">
        <v>731</v>
      </c>
      <c r="U17" s="63" t="s">
        <v>732</v>
      </c>
    </row>
    <row r="18" spans="1:21" ht="72.5" x14ac:dyDescent="0.35">
      <c r="A18" s="72" t="s">
        <v>846</v>
      </c>
      <c r="B18" s="73" t="s">
        <v>847</v>
      </c>
      <c r="C18" s="63" t="s">
        <v>848</v>
      </c>
      <c r="D18" s="63" t="s">
        <v>98</v>
      </c>
      <c r="E18" s="63" t="s">
        <v>776</v>
      </c>
      <c r="F18" s="63" t="s">
        <v>88</v>
      </c>
      <c r="G18" s="63" t="s">
        <v>849</v>
      </c>
      <c r="H18" s="63" t="s">
        <v>98</v>
      </c>
      <c r="I18" s="74" t="s">
        <v>850</v>
      </c>
      <c r="J18" s="63" t="s">
        <v>851</v>
      </c>
      <c r="K18" s="63" t="s">
        <v>852</v>
      </c>
      <c r="L18" s="63" t="s">
        <v>853</v>
      </c>
      <c r="M18" s="63" t="s">
        <v>1124</v>
      </c>
      <c r="N18" s="63" t="s">
        <v>854</v>
      </c>
      <c r="O18" s="63" t="s">
        <v>728</v>
      </c>
      <c r="P18" s="63" t="s">
        <v>729</v>
      </c>
      <c r="Q18" s="63" t="s">
        <v>84</v>
      </c>
      <c r="R18" s="63" t="s">
        <v>730</v>
      </c>
      <c r="S18" s="70">
        <v>46247</v>
      </c>
      <c r="T18" s="75" t="s">
        <v>731</v>
      </c>
      <c r="U18" s="63" t="s">
        <v>732</v>
      </c>
    </row>
    <row r="19" spans="1:21" ht="72.5" x14ac:dyDescent="0.35">
      <c r="A19" s="72" t="s">
        <v>855</v>
      </c>
      <c r="B19" s="73" t="s">
        <v>856</v>
      </c>
      <c r="C19" s="63" t="s">
        <v>857</v>
      </c>
      <c r="D19" s="63" t="s">
        <v>98</v>
      </c>
      <c r="E19" s="63" t="s">
        <v>858</v>
      </c>
      <c r="F19" s="63" t="s">
        <v>88</v>
      </c>
      <c r="G19" s="63" t="s">
        <v>849</v>
      </c>
      <c r="H19" s="63" t="s">
        <v>722</v>
      </c>
      <c r="I19" s="74" t="s">
        <v>859</v>
      </c>
      <c r="J19" s="63" t="s">
        <v>860</v>
      </c>
      <c r="K19" s="63" t="s">
        <v>861</v>
      </c>
      <c r="L19" s="63" t="s">
        <v>862</v>
      </c>
      <c r="M19" s="63" t="s">
        <v>1124</v>
      </c>
      <c r="N19" s="63" t="s">
        <v>863</v>
      </c>
      <c r="O19" s="63" t="s">
        <v>728</v>
      </c>
      <c r="P19" s="63" t="s">
        <v>729</v>
      </c>
      <c r="Q19" s="63" t="s">
        <v>84</v>
      </c>
      <c r="R19" s="63" t="s">
        <v>730</v>
      </c>
      <c r="S19" s="70">
        <v>46247</v>
      </c>
      <c r="T19" s="75" t="s">
        <v>731</v>
      </c>
      <c r="U19" s="63" t="s">
        <v>732</v>
      </c>
    </row>
    <row r="20" spans="1:21" ht="58" x14ac:dyDescent="0.35">
      <c r="A20" s="72" t="s">
        <v>864</v>
      </c>
      <c r="B20" s="73" t="s">
        <v>865</v>
      </c>
      <c r="C20" s="63" t="s">
        <v>866</v>
      </c>
      <c r="D20" s="63" t="s">
        <v>867</v>
      </c>
      <c r="E20" s="63" t="s">
        <v>868</v>
      </c>
      <c r="F20" s="63" t="s">
        <v>88</v>
      </c>
      <c r="G20" s="63" t="s">
        <v>102</v>
      </c>
      <c r="H20" s="63" t="s">
        <v>746</v>
      </c>
      <c r="I20" s="74" t="s">
        <v>869</v>
      </c>
      <c r="J20" s="63" t="s">
        <v>870</v>
      </c>
      <c r="K20" s="63" t="s">
        <v>871</v>
      </c>
      <c r="L20" s="63" t="s">
        <v>872</v>
      </c>
      <c r="M20" s="63" t="s">
        <v>1123</v>
      </c>
      <c r="N20" s="63" t="s">
        <v>873</v>
      </c>
      <c r="O20" s="63" t="s">
        <v>728</v>
      </c>
      <c r="P20" s="63" t="s">
        <v>729</v>
      </c>
      <c r="Q20" s="63" t="s">
        <v>84</v>
      </c>
      <c r="R20" s="63" t="s">
        <v>730</v>
      </c>
      <c r="S20" s="70">
        <v>46247</v>
      </c>
      <c r="T20" s="75" t="s">
        <v>731</v>
      </c>
      <c r="U20" s="63" t="s">
        <v>732</v>
      </c>
    </row>
    <row r="21" spans="1:21" ht="72.5" x14ac:dyDescent="0.35">
      <c r="A21" s="72" t="s">
        <v>874</v>
      </c>
      <c r="B21" s="73" t="s">
        <v>875</v>
      </c>
      <c r="C21" s="63" t="s">
        <v>876</v>
      </c>
      <c r="D21" s="63" t="s">
        <v>867</v>
      </c>
      <c r="E21" s="63" t="s">
        <v>877</v>
      </c>
      <c r="F21" s="63" t="s">
        <v>88</v>
      </c>
      <c r="G21" s="63" t="s">
        <v>102</v>
      </c>
      <c r="H21" s="63" t="s">
        <v>878</v>
      </c>
      <c r="I21" s="74" t="s">
        <v>879</v>
      </c>
      <c r="J21" s="63" t="s">
        <v>880</v>
      </c>
      <c r="K21" s="63" t="s">
        <v>881</v>
      </c>
      <c r="L21" s="63" t="s">
        <v>882</v>
      </c>
      <c r="M21" s="63" t="s">
        <v>1124</v>
      </c>
      <c r="N21" s="63" t="s">
        <v>883</v>
      </c>
      <c r="O21" s="63" t="s">
        <v>728</v>
      </c>
      <c r="P21" s="63" t="s">
        <v>729</v>
      </c>
      <c r="Q21" s="63" t="s">
        <v>84</v>
      </c>
      <c r="R21" s="63" t="s">
        <v>730</v>
      </c>
      <c r="S21" s="70">
        <v>46247</v>
      </c>
      <c r="T21" s="75" t="s">
        <v>731</v>
      </c>
      <c r="U21" s="63" t="s">
        <v>732</v>
      </c>
    </row>
    <row r="22" spans="1:21" ht="72.5" x14ac:dyDescent="0.35">
      <c r="A22" s="72" t="s">
        <v>884</v>
      </c>
      <c r="B22" s="73" t="s">
        <v>885</v>
      </c>
      <c r="C22" s="63" t="s">
        <v>886</v>
      </c>
      <c r="D22" s="63" t="s">
        <v>887</v>
      </c>
      <c r="E22" s="63" t="s">
        <v>776</v>
      </c>
      <c r="F22" s="63" t="s">
        <v>88</v>
      </c>
      <c r="G22" s="63" t="s">
        <v>85</v>
      </c>
      <c r="H22" s="63" t="s">
        <v>888</v>
      </c>
      <c r="I22" s="74" t="s">
        <v>889</v>
      </c>
      <c r="J22" s="63" t="s">
        <v>890</v>
      </c>
      <c r="K22" s="63" t="s">
        <v>891</v>
      </c>
      <c r="L22" s="63" t="s">
        <v>892</v>
      </c>
      <c r="M22" s="63" t="s">
        <v>1122</v>
      </c>
      <c r="N22" s="63" t="s">
        <v>893</v>
      </c>
      <c r="O22" s="63" t="s">
        <v>728</v>
      </c>
      <c r="P22" s="63" t="s">
        <v>729</v>
      </c>
      <c r="Q22" s="63" t="s">
        <v>84</v>
      </c>
      <c r="R22" s="63" t="s">
        <v>730</v>
      </c>
      <c r="S22" s="70">
        <v>46247</v>
      </c>
      <c r="T22" s="75" t="s">
        <v>731</v>
      </c>
      <c r="U22" s="63" t="s">
        <v>732</v>
      </c>
    </row>
    <row r="23" spans="1:21" ht="72.5" x14ac:dyDescent="0.35">
      <c r="A23" s="72" t="s">
        <v>894</v>
      </c>
      <c r="B23" s="73" t="s">
        <v>895</v>
      </c>
      <c r="C23" s="63" t="s">
        <v>896</v>
      </c>
      <c r="D23" s="63" t="s">
        <v>897</v>
      </c>
      <c r="E23" s="63" t="s">
        <v>776</v>
      </c>
      <c r="F23" s="63" t="s">
        <v>88</v>
      </c>
      <c r="G23" s="63" t="s">
        <v>201</v>
      </c>
      <c r="H23" s="63" t="s">
        <v>898</v>
      </c>
      <c r="I23" s="74" t="s">
        <v>899</v>
      </c>
      <c r="J23" s="63" t="s">
        <v>900</v>
      </c>
      <c r="K23" s="63" t="s">
        <v>901</v>
      </c>
      <c r="L23" s="63" t="s">
        <v>902</v>
      </c>
      <c r="M23" s="63" t="s">
        <v>1122</v>
      </c>
      <c r="N23" s="63" t="s">
        <v>903</v>
      </c>
      <c r="O23" s="63" t="s">
        <v>728</v>
      </c>
      <c r="P23" s="63" t="s">
        <v>729</v>
      </c>
      <c r="Q23" s="63" t="s">
        <v>84</v>
      </c>
      <c r="R23" s="63" t="s">
        <v>730</v>
      </c>
      <c r="S23" s="70">
        <v>46247</v>
      </c>
      <c r="T23" s="75" t="s">
        <v>731</v>
      </c>
      <c r="U23" s="63" t="s">
        <v>732</v>
      </c>
    </row>
    <row r="24" spans="1:21" ht="58" x14ac:dyDescent="0.35">
      <c r="A24" s="72" t="s">
        <v>904</v>
      </c>
      <c r="B24" s="73" t="s">
        <v>905</v>
      </c>
      <c r="C24" s="63" t="s">
        <v>906</v>
      </c>
      <c r="D24" s="63" t="s">
        <v>897</v>
      </c>
      <c r="E24" s="63" t="s">
        <v>776</v>
      </c>
      <c r="F24" s="63" t="s">
        <v>88</v>
      </c>
      <c r="G24" s="63" t="s">
        <v>201</v>
      </c>
      <c r="H24" s="63" t="s">
        <v>778</v>
      </c>
      <c r="I24" s="74" t="s">
        <v>907</v>
      </c>
      <c r="J24" s="63" t="s">
        <v>908</v>
      </c>
      <c r="K24" s="63" t="s">
        <v>909</v>
      </c>
      <c r="L24" s="63" t="s">
        <v>910</v>
      </c>
      <c r="M24" s="63" t="s">
        <v>1122</v>
      </c>
      <c r="N24" s="63" t="s">
        <v>911</v>
      </c>
      <c r="O24" s="63" t="s">
        <v>728</v>
      </c>
      <c r="P24" s="63" t="s">
        <v>729</v>
      </c>
      <c r="Q24" s="63" t="s">
        <v>84</v>
      </c>
      <c r="R24" s="63" t="s">
        <v>730</v>
      </c>
      <c r="S24" s="70">
        <v>46247</v>
      </c>
      <c r="T24" s="75" t="s">
        <v>731</v>
      </c>
      <c r="U24" s="63" t="s">
        <v>732</v>
      </c>
    </row>
    <row r="25" spans="1:21" ht="58" x14ac:dyDescent="0.35">
      <c r="A25" s="72" t="s">
        <v>912</v>
      </c>
      <c r="B25" s="73" t="s">
        <v>913</v>
      </c>
      <c r="C25" s="63" t="s">
        <v>914</v>
      </c>
      <c r="D25" s="63" t="s">
        <v>897</v>
      </c>
      <c r="E25" s="63" t="s">
        <v>776</v>
      </c>
      <c r="F25" s="63" t="s">
        <v>88</v>
      </c>
      <c r="G25" s="63" t="s">
        <v>777</v>
      </c>
      <c r="H25" s="63" t="s">
        <v>897</v>
      </c>
      <c r="I25" s="74" t="s">
        <v>915</v>
      </c>
      <c r="J25" s="63" t="s">
        <v>916</v>
      </c>
      <c r="K25" s="63" t="s">
        <v>917</v>
      </c>
      <c r="L25" s="63" t="s">
        <v>918</v>
      </c>
      <c r="M25" s="63" t="s">
        <v>1122</v>
      </c>
      <c r="N25" s="63" t="s">
        <v>919</v>
      </c>
      <c r="O25" s="63" t="s">
        <v>728</v>
      </c>
      <c r="P25" s="63" t="s">
        <v>729</v>
      </c>
      <c r="Q25" s="63" t="s">
        <v>84</v>
      </c>
      <c r="R25" s="63" t="s">
        <v>730</v>
      </c>
      <c r="S25" s="70">
        <v>46247</v>
      </c>
      <c r="T25" s="75" t="s">
        <v>731</v>
      </c>
      <c r="U25" s="63" t="s">
        <v>732</v>
      </c>
    </row>
    <row r="26" spans="1:21" ht="58" x14ac:dyDescent="0.35">
      <c r="A26" s="72" t="s">
        <v>920</v>
      </c>
      <c r="B26" s="73" t="s">
        <v>921</v>
      </c>
      <c r="C26" s="63" t="s">
        <v>922</v>
      </c>
      <c r="D26" s="63" t="s">
        <v>775</v>
      </c>
      <c r="E26" s="63" t="s">
        <v>776</v>
      </c>
      <c r="F26" s="63" t="s">
        <v>88</v>
      </c>
      <c r="G26" s="63" t="s">
        <v>803</v>
      </c>
      <c r="H26" s="63" t="s">
        <v>840</v>
      </c>
      <c r="I26" s="74" t="s">
        <v>923</v>
      </c>
      <c r="J26" s="63" t="s">
        <v>924</v>
      </c>
      <c r="K26" s="63" t="s">
        <v>925</v>
      </c>
      <c r="L26" s="63" t="s">
        <v>926</v>
      </c>
      <c r="M26" s="63" t="s">
        <v>1123</v>
      </c>
      <c r="N26" s="63" t="s">
        <v>927</v>
      </c>
      <c r="O26" s="63" t="s">
        <v>728</v>
      </c>
      <c r="P26" s="63" t="s">
        <v>729</v>
      </c>
      <c r="Q26" s="63" t="s">
        <v>84</v>
      </c>
      <c r="R26" s="63" t="s">
        <v>730</v>
      </c>
      <c r="S26" s="70">
        <v>46247</v>
      </c>
      <c r="T26" s="75" t="s">
        <v>731</v>
      </c>
      <c r="U26" s="63" t="s">
        <v>732</v>
      </c>
    </row>
    <row r="27" spans="1:21" ht="72.5" x14ac:dyDescent="0.35">
      <c r="A27" s="72" t="s">
        <v>928</v>
      </c>
      <c r="B27" s="73" t="s">
        <v>929</v>
      </c>
      <c r="C27" s="63" t="s">
        <v>930</v>
      </c>
      <c r="D27" s="63" t="s">
        <v>931</v>
      </c>
      <c r="E27" s="63" t="s">
        <v>932</v>
      </c>
      <c r="F27" s="63" t="s">
        <v>88</v>
      </c>
      <c r="G27" s="63" t="s">
        <v>933</v>
      </c>
      <c r="H27" s="63" t="s">
        <v>934</v>
      </c>
      <c r="I27" s="74" t="s">
        <v>935</v>
      </c>
      <c r="J27" s="63" t="s">
        <v>936</v>
      </c>
      <c r="K27" s="63" t="s">
        <v>937</v>
      </c>
      <c r="L27" s="63" t="s">
        <v>938</v>
      </c>
      <c r="M27" s="63" t="s">
        <v>1123</v>
      </c>
      <c r="N27" s="63" t="s">
        <v>939</v>
      </c>
      <c r="O27" s="63" t="s">
        <v>728</v>
      </c>
      <c r="P27" s="63" t="s">
        <v>729</v>
      </c>
      <c r="Q27" s="63" t="s">
        <v>84</v>
      </c>
      <c r="R27" s="63" t="s">
        <v>730</v>
      </c>
      <c r="S27" s="70">
        <v>46247</v>
      </c>
      <c r="T27" s="75" t="s">
        <v>731</v>
      </c>
      <c r="U27" s="63" t="s">
        <v>732</v>
      </c>
    </row>
    <row r="28" spans="1:21" ht="72.5" x14ac:dyDescent="0.35">
      <c r="A28" s="72" t="s">
        <v>940</v>
      </c>
      <c r="B28" s="73" t="s">
        <v>941</v>
      </c>
      <c r="C28" s="63" t="s">
        <v>942</v>
      </c>
      <c r="D28" s="63" t="s">
        <v>943</v>
      </c>
      <c r="E28" s="63" t="s">
        <v>944</v>
      </c>
      <c r="F28" s="63" t="s">
        <v>88</v>
      </c>
      <c r="G28" s="63" t="s">
        <v>85</v>
      </c>
      <c r="H28" s="63" t="s">
        <v>945</v>
      </c>
      <c r="I28" s="74" t="s">
        <v>946</v>
      </c>
      <c r="J28" s="63" t="s">
        <v>947</v>
      </c>
      <c r="K28" s="63" t="s">
        <v>948</v>
      </c>
      <c r="L28" s="63" t="s">
        <v>949</v>
      </c>
      <c r="M28" s="63" t="s">
        <v>1124</v>
      </c>
      <c r="N28" s="63" t="s">
        <v>950</v>
      </c>
      <c r="O28" s="63" t="s">
        <v>728</v>
      </c>
      <c r="P28" s="63" t="s">
        <v>729</v>
      </c>
      <c r="Q28" s="63" t="s">
        <v>84</v>
      </c>
      <c r="R28" s="63" t="s">
        <v>730</v>
      </c>
      <c r="S28" s="70">
        <v>46247</v>
      </c>
      <c r="T28" s="75" t="s">
        <v>731</v>
      </c>
      <c r="U28" s="63" t="s">
        <v>732</v>
      </c>
    </row>
    <row r="29" spans="1:21" ht="43.5" x14ac:dyDescent="0.35">
      <c r="A29" s="95" t="s">
        <v>1161</v>
      </c>
      <c r="B29" s="96" t="s">
        <v>1162</v>
      </c>
      <c r="C29" s="97" t="s">
        <v>1163</v>
      </c>
      <c r="D29" s="97" t="s">
        <v>867</v>
      </c>
      <c r="E29" s="97" t="s">
        <v>776</v>
      </c>
      <c r="F29" s="97" t="s">
        <v>88</v>
      </c>
      <c r="G29" s="97" t="s">
        <v>1164</v>
      </c>
      <c r="H29" s="97" t="s">
        <v>888</v>
      </c>
      <c r="I29" s="98" t="s">
        <v>73</v>
      </c>
      <c r="J29" s="97" t="s">
        <v>1165</v>
      </c>
      <c r="K29" s="97" t="s">
        <v>1166</v>
      </c>
      <c r="L29" s="97" t="s">
        <v>1167</v>
      </c>
      <c r="M29" s="97" t="s">
        <v>1122</v>
      </c>
      <c r="N29" s="97" t="s">
        <v>1168</v>
      </c>
      <c r="O29" s="97" t="s">
        <v>1169</v>
      </c>
      <c r="P29" s="97"/>
      <c r="Q29" s="97" t="s">
        <v>1170</v>
      </c>
      <c r="R29" s="97" t="s">
        <v>1171</v>
      </c>
      <c r="S29" s="99" t="s">
        <v>1172</v>
      </c>
      <c r="T29" s="100" t="s">
        <v>731</v>
      </c>
      <c r="U29" s="97" t="s">
        <v>1173</v>
      </c>
    </row>
    <row r="30" spans="1:21" ht="43.5" x14ac:dyDescent="0.35">
      <c r="A30" s="95" t="s">
        <v>1174</v>
      </c>
      <c r="B30" s="96" t="s">
        <v>1175</v>
      </c>
      <c r="C30" s="97" t="s">
        <v>1176</v>
      </c>
      <c r="D30" s="97" t="s">
        <v>867</v>
      </c>
      <c r="E30" s="97" t="s">
        <v>1177</v>
      </c>
      <c r="F30" s="97" t="s">
        <v>88</v>
      </c>
      <c r="G30" s="97" t="s">
        <v>102</v>
      </c>
      <c r="H30" s="97" t="s">
        <v>804</v>
      </c>
      <c r="I30" s="98" t="s">
        <v>56</v>
      </c>
      <c r="J30" s="97" t="s">
        <v>1178</v>
      </c>
      <c r="K30" s="97" t="s">
        <v>1179</v>
      </c>
      <c r="L30" s="97" t="s">
        <v>1180</v>
      </c>
      <c r="M30" s="97" t="s">
        <v>1123</v>
      </c>
      <c r="N30" s="97" t="s">
        <v>1181</v>
      </c>
      <c r="O30" s="97" t="s">
        <v>1169</v>
      </c>
      <c r="P30" s="97"/>
      <c r="Q30" s="97" t="s">
        <v>1170</v>
      </c>
      <c r="R30" s="97" t="s">
        <v>1171</v>
      </c>
      <c r="S30" s="99" t="s">
        <v>1172</v>
      </c>
      <c r="T30" s="100" t="s">
        <v>731</v>
      </c>
      <c r="U30" s="97" t="s">
        <v>1173</v>
      </c>
    </row>
    <row r="31" spans="1:21" ht="43.5" x14ac:dyDescent="0.35">
      <c r="A31" s="95" t="s">
        <v>1182</v>
      </c>
      <c r="B31" s="96" t="s">
        <v>1183</v>
      </c>
      <c r="C31" s="97" t="s">
        <v>1184</v>
      </c>
      <c r="D31" s="97" t="s">
        <v>867</v>
      </c>
      <c r="E31" s="97" t="s">
        <v>776</v>
      </c>
      <c r="F31" s="97" t="s">
        <v>88</v>
      </c>
      <c r="G31" s="97" t="s">
        <v>102</v>
      </c>
      <c r="H31" s="97" t="s">
        <v>878</v>
      </c>
      <c r="I31" s="98" t="s">
        <v>57</v>
      </c>
      <c r="J31" s="97" t="s">
        <v>1185</v>
      </c>
      <c r="K31" s="97" t="s">
        <v>1179</v>
      </c>
      <c r="L31" s="97" t="s">
        <v>1186</v>
      </c>
      <c r="M31" s="97" t="s">
        <v>1123</v>
      </c>
      <c r="N31" s="97" t="s">
        <v>1187</v>
      </c>
      <c r="O31" s="97" t="s">
        <v>1169</v>
      </c>
      <c r="P31" s="97"/>
      <c r="Q31" s="97" t="s">
        <v>1170</v>
      </c>
      <c r="R31" s="97" t="s">
        <v>1171</v>
      </c>
      <c r="S31" s="99" t="s">
        <v>1172</v>
      </c>
      <c r="T31" s="100" t="s">
        <v>731</v>
      </c>
      <c r="U31" s="97" t="s">
        <v>1173</v>
      </c>
    </row>
    <row r="32" spans="1:21" ht="72.5" x14ac:dyDescent="0.35">
      <c r="A32" s="95" t="s">
        <v>1188</v>
      </c>
      <c r="B32" s="96" t="s">
        <v>1189</v>
      </c>
      <c r="C32" s="97" t="s">
        <v>1190</v>
      </c>
      <c r="D32" s="97" t="s">
        <v>867</v>
      </c>
      <c r="E32" s="97" t="s">
        <v>1177</v>
      </c>
      <c r="F32" s="97" t="s">
        <v>88</v>
      </c>
      <c r="G32" s="97" t="s">
        <v>102</v>
      </c>
      <c r="H32" s="97" t="s">
        <v>878</v>
      </c>
      <c r="I32" s="98" t="s">
        <v>58</v>
      </c>
      <c r="J32" s="97" t="s">
        <v>1191</v>
      </c>
      <c r="K32" s="97" t="s">
        <v>1179</v>
      </c>
      <c r="L32" s="97" t="s">
        <v>1192</v>
      </c>
      <c r="M32" s="97" t="s">
        <v>1124</v>
      </c>
      <c r="N32" s="97" t="s">
        <v>1193</v>
      </c>
      <c r="O32" s="97" t="s">
        <v>1169</v>
      </c>
      <c r="P32" s="97"/>
      <c r="Q32" s="97" t="s">
        <v>1170</v>
      </c>
      <c r="R32" s="97" t="s">
        <v>1171</v>
      </c>
      <c r="S32" s="99" t="s">
        <v>1172</v>
      </c>
      <c r="T32" s="100" t="s">
        <v>731</v>
      </c>
      <c r="U32" s="97" t="s">
        <v>1173</v>
      </c>
    </row>
    <row r="33" spans="1:21" ht="43.5" x14ac:dyDescent="0.35">
      <c r="A33" s="95" t="s">
        <v>1194</v>
      </c>
      <c r="B33" s="96" t="s">
        <v>1195</v>
      </c>
      <c r="C33" s="97" t="s">
        <v>1196</v>
      </c>
      <c r="D33" s="97" t="s">
        <v>867</v>
      </c>
      <c r="E33" s="97" t="s">
        <v>776</v>
      </c>
      <c r="F33" s="97" t="s">
        <v>88</v>
      </c>
      <c r="G33" s="97" t="s">
        <v>102</v>
      </c>
      <c r="H33" s="97" t="s">
        <v>878</v>
      </c>
      <c r="I33" s="98" t="s">
        <v>59</v>
      </c>
      <c r="J33" s="97" t="s">
        <v>1165</v>
      </c>
      <c r="K33" s="97" t="s">
        <v>1179</v>
      </c>
      <c r="L33" s="97" t="s">
        <v>1197</v>
      </c>
      <c r="M33" s="97" t="s">
        <v>1123</v>
      </c>
      <c r="N33" s="97" t="s">
        <v>1198</v>
      </c>
      <c r="O33" s="97" t="s">
        <v>1169</v>
      </c>
      <c r="P33" s="97"/>
      <c r="Q33" s="97" t="s">
        <v>1170</v>
      </c>
      <c r="R33" s="97" t="s">
        <v>1171</v>
      </c>
      <c r="S33" s="99" t="s">
        <v>1172</v>
      </c>
      <c r="T33" s="100" t="s">
        <v>731</v>
      </c>
      <c r="U33" s="97" t="s">
        <v>1173</v>
      </c>
    </row>
    <row r="34" spans="1:21" ht="87" x14ac:dyDescent="0.35">
      <c r="A34" s="95" t="s">
        <v>1199</v>
      </c>
      <c r="B34" s="96" t="s">
        <v>1200</v>
      </c>
      <c r="C34" s="97" t="s">
        <v>1201</v>
      </c>
      <c r="D34" s="97" t="s">
        <v>1202</v>
      </c>
      <c r="E34" s="97" t="s">
        <v>1203</v>
      </c>
      <c r="F34" s="97" t="s">
        <v>88</v>
      </c>
      <c r="G34" s="97" t="s">
        <v>1204</v>
      </c>
      <c r="H34" s="97" t="s">
        <v>746</v>
      </c>
      <c r="I34" s="98" t="s">
        <v>60</v>
      </c>
      <c r="J34" s="97" t="s">
        <v>1205</v>
      </c>
      <c r="K34" s="97" t="s">
        <v>1206</v>
      </c>
      <c r="L34" s="97" t="s">
        <v>1207</v>
      </c>
      <c r="M34" s="97" t="s">
        <v>1123</v>
      </c>
      <c r="N34" s="97" t="s">
        <v>1208</v>
      </c>
      <c r="O34" s="97" t="s">
        <v>1169</v>
      </c>
      <c r="P34" s="97"/>
      <c r="Q34" s="97" t="s">
        <v>1170</v>
      </c>
      <c r="R34" s="97" t="s">
        <v>1171</v>
      </c>
      <c r="S34" s="99" t="s">
        <v>1172</v>
      </c>
      <c r="T34" s="100" t="s">
        <v>731</v>
      </c>
      <c r="U34" s="97" t="s">
        <v>1173</v>
      </c>
    </row>
    <row r="35" spans="1:21" ht="29" x14ac:dyDescent="0.35">
      <c r="A35" s="95" t="s">
        <v>1209</v>
      </c>
      <c r="B35" s="96" t="s">
        <v>1210</v>
      </c>
      <c r="C35" s="97" t="s">
        <v>1211</v>
      </c>
      <c r="D35" s="97" t="s">
        <v>867</v>
      </c>
      <c r="E35" s="97" t="s">
        <v>776</v>
      </c>
      <c r="F35" s="97" t="s">
        <v>88</v>
      </c>
      <c r="G35" s="97" t="s">
        <v>102</v>
      </c>
      <c r="H35" s="97" t="s">
        <v>778</v>
      </c>
      <c r="I35" s="98" t="s">
        <v>61</v>
      </c>
      <c r="J35" s="97" t="s">
        <v>1165</v>
      </c>
      <c r="K35" s="97" t="s">
        <v>1212</v>
      </c>
      <c r="L35" s="97" t="s">
        <v>1213</v>
      </c>
      <c r="M35" s="97" t="s">
        <v>1122</v>
      </c>
      <c r="N35" s="97" t="s">
        <v>1214</v>
      </c>
      <c r="O35" s="97" t="s">
        <v>1169</v>
      </c>
      <c r="P35" s="97"/>
      <c r="Q35" s="97" t="s">
        <v>1170</v>
      </c>
      <c r="R35" s="97" t="s">
        <v>1171</v>
      </c>
      <c r="S35" s="99" t="s">
        <v>1172</v>
      </c>
      <c r="T35" s="100" t="s">
        <v>731</v>
      </c>
      <c r="U35" s="97" t="s">
        <v>1173</v>
      </c>
    </row>
    <row r="36" spans="1:21" ht="159.5" x14ac:dyDescent="0.35">
      <c r="A36" s="95" t="s">
        <v>1215</v>
      </c>
      <c r="B36" s="96" t="s">
        <v>1216</v>
      </c>
      <c r="C36" s="97" t="s">
        <v>1217</v>
      </c>
      <c r="D36" s="97" t="s">
        <v>867</v>
      </c>
      <c r="E36" s="97" t="s">
        <v>776</v>
      </c>
      <c r="F36" s="97" t="s">
        <v>88</v>
      </c>
      <c r="G36" s="97" t="s">
        <v>102</v>
      </c>
      <c r="H36" s="97" t="s">
        <v>746</v>
      </c>
      <c r="I36" s="98" t="s">
        <v>62</v>
      </c>
      <c r="J36" s="97" t="s">
        <v>1218</v>
      </c>
      <c r="K36" s="97" t="s">
        <v>1179</v>
      </c>
      <c r="L36" s="97" t="s">
        <v>1219</v>
      </c>
      <c r="M36" s="97" t="s">
        <v>1123</v>
      </c>
      <c r="N36" s="97" t="s">
        <v>1220</v>
      </c>
      <c r="O36" s="97" t="s">
        <v>1169</v>
      </c>
      <c r="P36" s="97"/>
      <c r="Q36" s="97" t="s">
        <v>1170</v>
      </c>
      <c r="R36" s="97" t="s">
        <v>1171</v>
      </c>
      <c r="S36" s="99" t="s">
        <v>1172</v>
      </c>
      <c r="T36" s="100" t="s">
        <v>731</v>
      </c>
      <c r="U36" s="97" t="s">
        <v>1173</v>
      </c>
    </row>
    <row r="37" spans="1:21" ht="87" x14ac:dyDescent="0.35">
      <c r="A37" s="95" t="s">
        <v>1221</v>
      </c>
      <c r="B37" s="96" t="s">
        <v>1222</v>
      </c>
      <c r="C37" s="97" t="s">
        <v>1223</v>
      </c>
      <c r="D37" s="97" t="s">
        <v>867</v>
      </c>
      <c r="E37" s="97" t="s">
        <v>1224</v>
      </c>
      <c r="F37" s="97" t="s">
        <v>88</v>
      </c>
      <c r="G37" s="97" t="s">
        <v>102</v>
      </c>
      <c r="H37" s="97" t="s">
        <v>898</v>
      </c>
      <c r="I37" s="98" t="s">
        <v>63</v>
      </c>
      <c r="J37" s="97" t="s">
        <v>1225</v>
      </c>
      <c r="K37" s="97" t="s">
        <v>1226</v>
      </c>
      <c r="L37" s="97" t="s">
        <v>1227</v>
      </c>
      <c r="M37" s="97" t="s">
        <v>1123</v>
      </c>
      <c r="N37" s="97" t="s">
        <v>1228</v>
      </c>
      <c r="O37" s="97" t="s">
        <v>1169</v>
      </c>
      <c r="P37" s="97"/>
      <c r="Q37" s="97" t="s">
        <v>1170</v>
      </c>
      <c r="R37" s="97" t="s">
        <v>1171</v>
      </c>
      <c r="S37" s="99" t="s">
        <v>1172</v>
      </c>
      <c r="T37" s="100" t="s">
        <v>731</v>
      </c>
      <c r="U37" s="97" t="s">
        <v>1173</v>
      </c>
    </row>
    <row r="38" spans="1:21" ht="72.5" x14ac:dyDescent="0.35">
      <c r="A38" s="95" t="s">
        <v>1229</v>
      </c>
      <c r="B38" s="96" t="s">
        <v>1230</v>
      </c>
      <c r="C38" s="97" t="s">
        <v>1231</v>
      </c>
      <c r="D38" s="97" t="s">
        <v>867</v>
      </c>
      <c r="E38" s="97" t="s">
        <v>1232</v>
      </c>
      <c r="F38" s="97" t="s">
        <v>88</v>
      </c>
      <c r="G38" s="97" t="s">
        <v>102</v>
      </c>
      <c r="H38" s="97" t="s">
        <v>898</v>
      </c>
      <c r="I38" s="98" t="s">
        <v>64</v>
      </c>
      <c r="J38" s="97" t="s">
        <v>1178</v>
      </c>
      <c r="K38" s="97" t="s">
        <v>1233</v>
      </c>
      <c r="L38" s="97" t="s">
        <v>1234</v>
      </c>
      <c r="M38" s="97" t="s">
        <v>1123</v>
      </c>
      <c r="N38" s="97" t="s">
        <v>1235</v>
      </c>
      <c r="O38" s="97" t="s">
        <v>1169</v>
      </c>
      <c r="P38" s="97"/>
      <c r="Q38" s="97" t="s">
        <v>1170</v>
      </c>
      <c r="R38" s="97" t="s">
        <v>1171</v>
      </c>
      <c r="S38" s="99" t="s">
        <v>1172</v>
      </c>
      <c r="T38" s="100" t="s">
        <v>731</v>
      </c>
      <c r="U38" s="97" t="s">
        <v>1173</v>
      </c>
    </row>
    <row r="39" spans="1:21" ht="43.5" x14ac:dyDescent="0.35">
      <c r="A39" s="95" t="s">
        <v>1236</v>
      </c>
      <c r="B39" s="96" t="s">
        <v>1237</v>
      </c>
      <c r="C39" s="97" t="s">
        <v>1238</v>
      </c>
      <c r="D39" s="97" t="s">
        <v>867</v>
      </c>
      <c r="E39" s="97" t="s">
        <v>776</v>
      </c>
      <c r="F39" s="97" t="s">
        <v>88</v>
      </c>
      <c r="G39" s="97" t="s">
        <v>102</v>
      </c>
      <c r="H39" s="97" t="s">
        <v>898</v>
      </c>
      <c r="I39" s="98" t="s">
        <v>65</v>
      </c>
      <c r="J39" s="97" t="s">
        <v>1239</v>
      </c>
      <c r="K39" s="97" t="s">
        <v>1226</v>
      </c>
      <c r="L39" s="97" t="s">
        <v>1240</v>
      </c>
      <c r="M39" s="97" t="s">
        <v>1122</v>
      </c>
      <c r="N39" s="97" t="s">
        <v>1241</v>
      </c>
      <c r="O39" s="97" t="s">
        <v>1169</v>
      </c>
      <c r="P39" s="97"/>
      <c r="Q39" s="97" t="s">
        <v>1170</v>
      </c>
      <c r="R39" s="97" t="s">
        <v>1171</v>
      </c>
      <c r="S39" s="99" t="s">
        <v>1172</v>
      </c>
      <c r="T39" s="100" t="s">
        <v>731</v>
      </c>
      <c r="U39" s="97" t="s">
        <v>1173</v>
      </c>
    </row>
    <row r="40" spans="1:21" ht="58" x14ac:dyDescent="0.35">
      <c r="A40" s="95" t="s">
        <v>1242</v>
      </c>
      <c r="B40" s="96" t="s">
        <v>1243</v>
      </c>
      <c r="C40" s="97" t="s">
        <v>1244</v>
      </c>
      <c r="D40" s="97" t="s">
        <v>867</v>
      </c>
      <c r="E40" s="97" t="s">
        <v>1245</v>
      </c>
      <c r="F40" s="97" t="s">
        <v>88</v>
      </c>
      <c r="G40" s="97" t="s">
        <v>102</v>
      </c>
      <c r="H40" s="97" t="s">
        <v>1246</v>
      </c>
      <c r="I40" s="98" t="s">
        <v>66</v>
      </c>
      <c r="J40" s="97" t="s">
        <v>1247</v>
      </c>
      <c r="K40" s="97" t="s">
        <v>1248</v>
      </c>
      <c r="L40" s="97" t="s">
        <v>1249</v>
      </c>
      <c r="M40" s="97" t="s">
        <v>1123</v>
      </c>
      <c r="N40" s="97" t="s">
        <v>1250</v>
      </c>
      <c r="O40" s="97" t="s">
        <v>1169</v>
      </c>
      <c r="P40" s="97"/>
      <c r="Q40" s="97" t="s">
        <v>1170</v>
      </c>
      <c r="R40" s="97" t="s">
        <v>1171</v>
      </c>
      <c r="S40" s="99" t="s">
        <v>1172</v>
      </c>
      <c r="T40" s="100" t="s">
        <v>731</v>
      </c>
      <c r="U40" s="97" t="s">
        <v>1173</v>
      </c>
    </row>
    <row r="41" spans="1:21" ht="72.5" x14ac:dyDescent="0.35">
      <c r="A41" s="95" t="s">
        <v>1251</v>
      </c>
      <c r="B41" s="96" t="s">
        <v>1252</v>
      </c>
      <c r="C41" s="97" t="s">
        <v>1253</v>
      </c>
      <c r="D41" s="97" t="s">
        <v>867</v>
      </c>
      <c r="E41" s="97" t="s">
        <v>1254</v>
      </c>
      <c r="F41" s="97" t="s">
        <v>88</v>
      </c>
      <c r="G41" s="97" t="s">
        <v>102</v>
      </c>
      <c r="H41" s="97" t="s">
        <v>898</v>
      </c>
      <c r="I41" s="98" t="s">
        <v>67</v>
      </c>
      <c r="J41" s="97" t="s">
        <v>1178</v>
      </c>
      <c r="K41" s="97" t="s">
        <v>1226</v>
      </c>
      <c r="L41" s="97" t="s">
        <v>1255</v>
      </c>
      <c r="M41" s="97" t="s">
        <v>1123</v>
      </c>
      <c r="N41" s="97" t="s">
        <v>1256</v>
      </c>
      <c r="O41" s="97" t="s">
        <v>1169</v>
      </c>
      <c r="P41" s="97"/>
      <c r="Q41" s="97" t="s">
        <v>1170</v>
      </c>
      <c r="R41" s="97" t="s">
        <v>1171</v>
      </c>
      <c r="S41" s="99" t="s">
        <v>1172</v>
      </c>
      <c r="T41" s="100" t="s">
        <v>731</v>
      </c>
      <c r="U41" s="97" t="s">
        <v>1173</v>
      </c>
    </row>
    <row r="42" spans="1:21" ht="58" x14ac:dyDescent="0.35">
      <c r="A42" s="95" t="s">
        <v>1257</v>
      </c>
      <c r="B42" s="96" t="s">
        <v>1258</v>
      </c>
      <c r="C42" s="97" t="s">
        <v>1259</v>
      </c>
      <c r="D42" s="97" t="s">
        <v>867</v>
      </c>
      <c r="E42" s="97" t="s">
        <v>1260</v>
      </c>
      <c r="F42" s="97" t="s">
        <v>88</v>
      </c>
      <c r="G42" s="97" t="s">
        <v>102</v>
      </c>
      <c r="H42" s="97" t="s">
        <v>898</v>
      </c>
      <c r="I42" s="98" t="s">
        <v>68</v>
      </c>
      <c r="J42" s="97" t="s">
        <v>1178</v>
      </c>
      <c r="K42" s="97" t="s">
        <v>1226</v>
      </c>
      <c r="L42" s="97" t="s">
        <v>1261</v>
      </c>
      <c r="M42" s="97" t="s">
        <v>1123</v>
      </c>
      <c r="N42" s="97" t="s">
        <v>1262</v>
      </c>
      <c r="O42" s="97" t="s">
        <v>1169</v>
      </c>
      <c r="P42" s="97"/>
      <c r="Q42" s="97" t="s">
        <v>1170</v>
      </c>
      <c r="R42" s="97" t="s">
        <v>1171</v>
      </c>
      <c r="S42" s="99" t="s">
        <v>1172</v>
      </c>
      <c r="T42" s="100" t="s">
        <v>731</v>
      </c>
      <c r="U42" s="97" t="s">
        <v>1173</v>
      </c>
    </row>
    <row r="43" spans="1:21" ht="58" x14ac:dyDescent="0.35">
      <c r="A43" s="95" t="s">
        <v>1263</v>
      </c>
      <c r="B43" s="96" t="s">
        <v>1264</v>
      </c>
      <c r="C43" s="97" t="s">
        <v>1265</v>
      </c>
      <c r="D43" s="97" t="s">
        <v>867</v>
      </c>
      <c r="E43" s="97" t="s">
        <v>776</v>
      </c>
      <c r="F43" s="97" t="s">
        <v>88</v>
      </c>
      <c r="G43" s="97" t="s">
        <v>102</v>
      </c>
      <c r="H43" s="97" t="s">
        <v>898</v>
      </c>
      <c r="I43" s="98" t="s">
        <v>69</v>
      </c>
      <c r="J43" s="97" t="s">
        <v>1185</v>
      </c>
      <c r="K43" s="97" t="s">
        <v>1226</v>
      </c>
      <c r="L43" s="97" t="s">
        <v>1266</v>
      </c>
      <c r="M43" s="97" t="s">
        <v>1122</v>
      </c>
      <c r="N43" s="97" t="s">
        <v>1267</v>
      </c>
      <c r="O43" s="97" t="s">
        <v>1169</v>
      </c>
      <c r="P43" s="97"/>
      <c r="Q43" s="97" t="s">
        <v>1170</v>
      </c>
      <c r="R43" s="97" t="s">
        <v>1171</v>
      </c>
      <c r="S43" s="99" t="s">
        <v>1172</v>
      </c>
      <c r="T43" s="100" t="s">
        <v>731</v>
      </c>
      <c r="U43" s="97" t="s">
        <v>1173</v>
      </c>
    </row>
    <row r="44" spans="1:21" ht="58" x14ac:dyDescent="0.35">
      <c r="A44" s="95" t="s">
        <v>1268</v>
      </c>
      <c r="B44" s="96" t="s">
        <v>1269</v>
      </c>
      <c r="C44" s="97" t="s">
        <v>1270</v>
      </c>
      <c r="D44" s="97" t="s">
        <v>867</v>
      </c>
      <c r="E44" s="97" t="s">
        <v>776</v>
      </c>
      <c r="F44" s="97" t="s">
        <v>88</v>
      </c>
      <c r="G44" s="97" t="s">
        <v>102</v>
      </c>
      <c r="H44" s="97" t="s">
        <v>898</v>
      </c>
      <c r="I44" s="98" t="s">
        <v>70</v>
      </c>
      <c r="J44" s="97" t="s">
        <v>1178</v>
      </c>
      <c r="K44" s="97" t="s">
        <v>1226</v>
      </c>
      <c r="L44" s="97" t="s">
        <v>1271</v>
      </c>
      <c r="M44" s="97" t="s">
        <v>1122</v>
      </c>
      <c r="N44" s="97" t="s">
        <v>1272</v>
      </c>
      <c r="O44" s="97" t="s">
        <v>1169</v>
      </c>
      <c r="P44" s="97"/>
      <c r="Q44" s="97" t="s">
        <v>1170</v>
      </c>
      <c r="R44" s="97" t="s">
        <v>1171</v>
      </c>
      <c r="S44" s="99" t="s">
        <v>1172</v>
      </c>
      <c r="T44" s="100" t="s">
        <v>731</v>
      </c>
      <c r="U44" s="97" t="s">
        <v>1173</v>
      </c>
    </row>
  </sheetData>
  <mergeCells count="2">
    <mergeCell ref="A1:U1"/>
    <mergeCell ref="A2:U2"/>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3725A-1A05-4D2E-93A0-290D2E094474}">
  <sheetPr>
    <tabColor rgb="FFFF4FB8"/>
  </sheetPr>
  <dimension ref="A1:G11"/>
  <sheetViews>
    <sheetView showGridLines="0" workbookViewId="0">
      <pane ySplit="4" topLeftCell="A5" activePane="bottomLeft" state="frozen"/>
      <selection pane="bottomLeft" activeCell="A2" sqref="A2:G2"/>
    </sheetView>
  </sheetViews>
  <sheetFormatPr baseColWidth="10" defaultRowHeight="14.5" x14ac:dyDescent="0.35"/>
  <cols>
    <col min="1" max="1" width="28.1796875" customWidth="1"/>
    <col min="2" max="2" width="19.08984375" customWidth="1"/>
    <col min="3" max="3" width="47.26953125" customWidth="1"/>
    <col min="4" max="4" width="10.90625" customWidth="1"/>
    <col min="5" max="5" width="14.54296875" customWidth="1"/>
    <col min="6" max="6" width="28.1796875" customWidth="1"/>
    <col min="7" max="7" width="41.81640625" customWidth="1"/>
  </cols>
  <sheetData>
    <row r="1" spans="1:7" ht="36" customHeight="1" thickBot="1" x14ac:dyDescent="0.6">
      <c r="A1" s="132" t="s">
        <v>959</v>
      </c>
      <c r="B1" s="132"/>
      <c r="C1" s="132"/>
      <c r="D1" s="132"/>
      <c r="E1" s="132"/>
      <c r="F1" s="132"/>
      <c r="G1" s="132"/>
    </row>
    <row r="2" spans="1:7" ht="30" customHeight="1" thickTop="1" x14ac:dyDescent="0.35">
      <c r="A2" s="131" t="s">
        <v>960</v>
      </c>
      <c r="B2" s="131"/>
      <c r="C2" s="131"/>
      <c r="D2" s="131"/>
      <c r="E2" s="131"/>
      <c r="F2" s="131"/>
      <c r="G2" s="131"/>
    </row>
    <row r="3" spans="1:7" x14ac:dyDescent="0.35">
      <c r="A3" s="31"/>
      <c r="B3" s="31"/>
      <c r="C3" s="31"/>
      <c r="D3" s="31"/>
      <c r="E3" s="31"/>
      <c r="F3" s="31"/>
      <c r="G3" s="31"/>
    </row>
    <row r="4" spans="1:7" x14ac:dyDescent="0.35">
      <c r="A4" s="71" t="s">
        <v>1130</v>
      </c>
      <c r="B4" s="71" t="s">
        <v>961</v>
      </c>
      <c r="C4" s="71" t="s">
        <v>962</v>
      </c>
      <c r="D4" s="71" t="s">
        <v>371</v>
      </c>
      <c r="E4" s="71" t="s">
        <v>963</v>
      </c>
      <c r="F4" s="71" t="s">
        <v>964</v>
      </c>
      <c r="G4" s="71" t="s">
        <v>965</v>
      </c>
    </row>
    <row r="5" spans="1:7" ht="29" x14ac:dyDescent="0.35">
      <c r="A5" s="72" t="s">
        <v>966</v>
      </c>
      <c r="B5" s="73" t="s">
        <v>967</v>
      </c>
      <c r="C5" s="63" t="s">
        <v>968</v>
      </c>
      <c r="D5" s="76">
        <v>1</v>
      </c>
      <c r="E5" s="77" t="s">
        <v>969</v>
      </c>
      <c r="F5" s="63" t="s">
        <v>970</v>
      </c>
      <c r="G5" s="63" t="s">
        <v>971</v>
      </c>
    </row>
    <row r="6" spans="1:7" ht="29" x14ac:dyDescent="0.35">
      <c r="A6" s="72" t="s">
        <v>972</v>
      </c>
      <c r="B6" s="73" t="s">
        <v>967</v>
      </c>
      <c r="C6" s="63" t="s">
        <v>973</v>
      </c>
      <c r="D6" s="76">
        <v>1</v>
      </c>
      <c r="E6" s="77" t="s">
        <v>969</v>
      </c>
      <c r="F6" s="63" t="s">
        <v>974</v>
      </c>
      <c r="G6" s="63" t="s">
        <v>975</v>
      </c>
    </row>
    <row r="7" spans="1:7" x14ac:dyDescent="0.35">
      <c r="A7" s="72" t="s">
        <v>270</v>
      </c>
      <c r="B7" s="73" t="s">
        <v>967</v>
      </c>
      <c r="C7" s="63" t="s">
        <v>271</v>
      </c>
      <c r="D7" s="76">
        <v>1</v>
      </c>
      <c r="E7" s="77" t="s">
        <v>969</v>
      </c>
      <c r="F7" s="63" t="s">
        <v>976</v>
      </c>
      <c r="G7" s="63" t="s">
        <v>977</v>
      </c>
    </row>
    <row r="8" spans="1:7" x14ac:dyDescent="0.35">
      <c r="A8" s="72" t="s">
        <v>978</v>
      </c>
      <c r="B8" s="73" t="s">
        <v>967</v>
      </c>
      <c r="C8" s="63" t="s">
        <v>979</v>
      </c>
      <c r="D8" s="76">
        <v>1</v>
      </c>
      <c r="E8" s="77" t="s">
        <v>969</v>
      </c>
      <c r="F8" s="63" t="s">
        <v>980</v>
      </c>
      <c r="G8" s="63" t="s">
        <v>981</v>
      </c>
    </row>
    <row r="9" spans="1:7" ht="29" x14ac:dyDescent="0.35">
      <c r="A9" s="72" t="s">
        <v>267</v>
      </c>
      <c r="B9" s="73" t="s">
        <v>982</v>
      </c>
      <c r="C9" s="63" t="s">
        <v>269</v>
      </c>
      <c r="D9" s="76">
        <v>2</v>
      </c>
      <c r="E9" s="77" t="s">
        <v>983</v>
      </c>
      <c r="F9" s="63" t="s">
        <v>984</v>
      </c>
      <c r="G9" s="63" t="s">
        <v>985</v>
      </c>
    </row>
    <row r="10" spans="1:7" x14ac:dyDescent="0.35">
      <c r="A10" s="72" t="s">
        <v>266</v>
      </c>
      <c r="B10" s="73" t="s">
        <v>982</v>
      </c>
      <c r="C10" s="63" t="s">
        <v>268</v>
      </c>
      <c r="D10" s="76">
        <v>3</v>
      </c>
      <c r="E10" s="77" t="s">
        <v>986</v>
      </c>
      <c r="F10" s="63" t="s">
        <v>987</v>
      </c>
      <c r="G10" s="63" t="s">
        <v>988</v>
      </c>
    </row>
    <row r="11" spans="1:7" ht="29" x14ac:dyDescent="0.35">
      <c r="A11" s="72" t="s">
        <v>989</v>
      </c>
      <c r="B11" s="73" t="s">
        <v>990</v>
      </c>
      <c r="C11" s="63" t="s">
        <v>991</v>
      </c>
      <c r="D11" s="76">
        <v>3</v>
      </c>
      <c r="E11" s="77" t="s">
        <v>986</v>
      </c>
      <c r="F11" s="63" t="s">
        <v>992</v>
      </c>
      <c r="G11" s="63" t="s">
        <v>993</v>
      </c>
    </row>
  </sheetData>
  <mergeCells count="2">
    <mergeCell ref="A1:G1"/>
    <mergeCell ref="A2:G2"/>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8FC73-F256-463E-A467-52B81227A404}">
  <sheetPr>
    <tabColor rgb="FFFF4FB8"/>
  </sheetPr>
  <dimension ref="A1:M28"/>
  <sheetViews>
    <sheetView showGridLines="0" workbookViewId="0">
      <pane ySplit="4" topLeftCell="A5" activePane="bottomLeft" state="frozen"/>
      <selection pane="bottomLeft" activeCell="A2" sqref="A2:M2"/>
    </sheetView>
  </sheetViews>
  <sheetFormatPr baseColWidth="10" defaultRowHeight="14.5" x14ac:dyDescent="0.35"/>
  <cols>
    <col min="1" max="1" width="11.81640625" customWidth="1"/>
    <col min="2" max="2" width="26.36328125" customWidth="1"/>
    <col min="3" max="3" width="16.36328125" customWidth="1"/>
    <col min="4" max="4" width="15.453125" customWidth="1"/>
    <col min="5" max="5" width="11.81640625" customWidth="1"/>
    <col min="6" max="6" width="14.54296875" customWidth="1"/>
    <col min="7" max="7" width="11.81640625" customWidth="1"/>
    <col min="8" max="8" width="14.54296875" customWidth="1"/>
    <col min="9" max="9" width="11.81640625" customWidth="1"/>
    <col min="10" max="10" width="14.54296875" customWidth="1"/>
    <col min="11" max="11" width="12.7265625" customWidth="1"/>
    <col min="12" max="12" width="15.453125" customWidth="1"/>
    <col min="13" max="13" width="43.6328125" customWidth="1"/>
  </cols>
  <sheetData>
    <row r="1" spans="1:13" ht="36" customHeight="1" thickBot="1" x14ac:dyDescent="0.6">
      <c r="A1" s="132" t="s">
        <v>994</v>
      </c>
      <c r="B1" s="132"/>
      <c r="C1" s="132"/>
      <c r="D1" s="132"/>
      <c r="E1" s="132"/>
      <c r="F1" s="132"/>
      <c r="G1" s="132"/>
      <c r="H1" s="132"/>
      <c r="I1" s="132"/>
      <c r="J1" s="132"/>
      <c r="K1" s="132"/>
      <c r="L1" s="132"/>
      <c r="M1" s="132"/>
    </row>
    <row r="2" spans="1:13" ht="30" customHeight="1" thickTop="1" x14ac:dyDescent="0.35">
      <c r="A2" s="131" t="s">
        <v>995</v>
      </c>
      <c r="B2" s="131"/>
      <c r="C2" s="131"/>
      <c r="D2" s="131"/>
      <c r="E2" s="131"/>
      <c r="F2" s="131"/>
      <c r="G2" s="131"/>
      <c r="H2" s="131"/>
      <c r="I2" s="131"/>
      <c r="J2" s="131"/>
      <c r="K2" s="131"/>
      <c r="L2" s="131"/>
      <c r="M2" s="131"/>
    </row>
    <row r="3" spans="1:13" x14ac:dyDescent="0.35">
      <c r="A3" s="31"/>
      <c r="B3" s="31"/>
      <c r="C3" s="31"/>
      <c r="D3" s="31"/>
      <c r="E3" s="31"/>
      <c r="F3" s="31"/>
      <c r="G3" s="31"/>
      <c r="H3" s="31"/>
      <c r="I3" s="31"/>
      <c r="J3" s="31"/>
      <c r="K3" s="31"/>
      <c r="L3" s="31"/>
      <c r="M3" s="31"/>
    </row>
    <row r="4" spans="1:13" ht="29" x14ac:dyDescent="0.35">
      <c r="A4" s="71" t="s">
        <v>996</v>
      </c>
      <c r="B4" s="71" t="s">
        <v>441</v>
      </c>
      <c r="C4" s="71" t="s">
        <v>997</v>
      </c>
      <c r="D4" s="71" t="s">
        <v>998</v>
      </c>
      <c r="E4" s="71" t="s">
        <v>999</v>
      </c>
      <c r="F4" s="71" t="s">
        <v>1000</v>
      </c>
      <c r="G4" s="71" t="s">
        <v>1001</v>
      </c>
      <c r="H4" s="71" t="s">
        <v>1002</v>
      </c>
      <c r="I4" s="71" t="s">
        <v>273</v>
      </c>
      <c r="J4" s="71" t="s">
        <v>1003</v>
      </c>
      <c r="K4" s="71" t="s">
        <v>1004</v>
      </c>
      <c r="L4" s="71" t="s">
        <v>1131</v>
      </c>
      <c r="M4" s="71" t="s">
        <v>1005</v>
      </c>
    </row>
    <row r="5" spans="1:13" x14ac:dyDescent="0.35">
      <c r="A5" s="72" t="s">
        <v>717</v>
      </c>
      <c r="B5" s="73" t="s">
        <v>718</v>
      </c>
      <c r="C5" s="63" t="s">
        <v>1006</v>
      </c>
      <c r="D5" s="63"/>
      <c r="E5" s="74"/>
      <c r="F5" s="74"/>
      <c r="G5" s="74"/>
      <c r="H5" s="74"/>
      <c r="I5" s="74"/>
      <c r="J5" s="74"/>
      <c r="K5" s="78" t="str">
        <f>IF(COUNTA(E5:J5)=0,"",AVERAGE(E5:J5))</f>
        <v/>
      </c>
      <c r="L5" s="75" t="s">
        <v>1007</v>
      </c>
      <c r="M5" s="63"/>
    </row>
    <row r="6" spans="1:13" ht="29" x14ac:dyDescent="0.35">
      <c r="A6" s="72" t="s">
        <v>733</v>
      </c>
      <c r="B6" s="73" t="s">
        <v>734</v>
      </c>
      <c r="C6" s="63" t="s">
        <v>1006</v>
      </c>
      <c r="D6" s="63"/>
      <c r="E6" s="74"/>
      <c r="F6" s="74"/>
      <c r="G6" s="74"/>
      <c r="H6" s="74"/>
      <c r="I6" s="74"/>
      <c r="J6" s="74"/>
      <c r="K6" s="78" t="str">
        <f t="shared" ref="K6:K28" si="0">IF(COUNTA(E6:J6)=0,"",AVERAGE(E6:J6))</f>
        <v/>
      </c>
      <c r="L6" s="75" t="s">
        <v>1007</v>
      </c>
      <c r="M6" s="63"/>
    </row>
    <row r="7" spans="1:13" ht="29" x14ac:dyDescent="0.35">
      <c r="A7" s="72" t="s">
        <v>741</v>
      </c>
      <c r="B7" s="73" t="s">
        <v>742</v>
      </c>
      <c r="C7" s="63" t="s">
        <v>1006</v>
      </c>
      <c r="D7" s="63"/>
      <c r="E7" s="74"/>
      <c r="F7" s="74"/>
      <c r="G7" s="74"/>
      <c r="H7" s="74"/>
      <c r="I7" s="74"/>
      <c r="J7" s="74"/>
      <c r="K7" s="78" t="str">
        <f t="shared" si="0"/>
        <v/>
      </c>
      <c r="L7" s="75" t="s">
        <v>1007</v>
      </c>
      <c r="M7" s="63"/>
    </row>
    <row r="8" spans="1:13" x14ac:dyDescent="0.35">
      <c r="A8" s="72" t="s">
        <v>752</v>
      </c>
      <c r="B8" s="73" t="s">
        <v>753</v>
      </c>
      <c r="C8" s="63" t="s">
        <v>1006</v>
      </c>
      <c r="D8" s="63"/>
      <c r="E8" s="74"/>
      <c r="F8" s="74"/>
      <c r="G8" s="74"/>
      <c r="H8" s="74"/>
      <c r="I8" s="74"/>
      <c r="J8" s="74"/>
      <c r="K8" s="78" t="str">
        <f t="shared" si="0"/>
        <v/>
      </c>
      <c r="L8" s="75" t="s">
        <v>1007</v>
      </c>
      <c r="M8" s="63"/>
    </row>
    <row r="9" spans="1:13" ht="29" x14ac:dyDescent="0.35">
      <c r="A9" s="72" t="s">
        <v>762</v>
      </c>
      <c r="B9" s="73" t="s">
        <v>763</v>
      </c>
      <c r="C9" s="63" t="s">
        <v>1006</v>
      </c>
      <c r="D9" s="63"/>
      <c r="E9" s="74"/>
      <c r="F9" s="74"/>
      <c r="G9" s="74"/>
      <c r="H9" s="74"/>
      <c r="I9" s="74"/>
      <c r="J9" s="74"/>
      <c r="K9" s="78" t="str">
        <f t="shared" si="0"/>
        <v/>
      </c>
      <c r="L9" s="75" t="s">
        <v>1007</v>
      </c>
      <c r="M9" s="63"/>
    </row>
    <row r="10" spans="1:13" x14ac:dyDescent="0.35">
      <c r="A10" s="72" t="s">
        <v>772</v>
      </c>
      <c r="B10" s="73" t="s">
        <v>773</v>
      </c>
      <c r="C10" s="63" t="s">
        <v>1006</v>
      </c>
      <c r="D10" s="63"/>
      <c r="E10" s="74"/>
      <c r="F10" s="74"/>
      <c r="G10" s="74"/>
      <c r="H10" s="74"/>
      <c r="I10" s="74"/>
      <c r="J10" s="74"/>
      <c r="K10" s="78" t="str">
        <f t="shared" si="0"/>
        <v/>
      </c>
      <c r="L10" s="75" t="s">
        <v>1007</v>
      </c>
      <c r="M10" s="63"/>
    </row>
    <row r="11" spans="1:13" ht="29" x14ac:dyDescent="0.35">
      <c r="A11" s="72" t="s">
        <v>784</v>
      </c>
      <c r="B11" s="73" t="s">
        <v>785</v>
      </c>
      <c r="C11" s="63" t="s">
        <v>1006</v>
      </c>
      <c r="D11" s="63"/>
      <c r="E11" s="74"/>
      <c r="F11" s="74"/>
      <c r="G11" s="74"/>
      <c r="H11" s="74"/>
      <c r="I11" s="74"/>
      <c r="J11" s="74"/>
      <c r="K11" s="78" t="str">
        <f t="shared" si="0"/>
        <v/>
      </c>
      <c r="L11" s="75" t="s">
        <v>1007</v>
      </c>
      <c r="M11" s="63"/>
    </row>
    <row r="12" spans="1:13" ht="29" x14ac:dyDescent="0.35">
      <c r="A12" s="72" t="s">
        <v>790</v>
      </c>
      <c r="B12" s="73" t="s">
        <v>791</v>
      </c>
      <c r="C12" s="63" t="s">
        <v>1006</v>
      </c>
      <c r="D12" s="63"/>
      <c r="E12" s="74"/>
      <c r="F12" s="74"/>
      <c r="G12" s="74"/>
      <c r="H12" s="74"/>
      <c r="I12" s="74"/>
      <c r="J12" s="74"/>
      <c r="K12" s="78" t="str">
        <f t="shared" si="0"/>
        <v/>
      </c>
      <c r="L12" s="75" t="s">
        <v>1007</v>
      </c>
      <c r="M12" s="63"/>
    </row>
    <row r="13" spans="1:13" x14ac:dyDescent="0.35">
      <c r="A13" s="72" t="s">
        <v>798</v>
      </c>
      <c r="B13" s="73" t="s">
        <v>799</v>
      </c>
      <c r="C13" s="63" t="s">
        <v>1006</v>
      </c>
      <c r="D13" s="63"/>
      <c r="E13" s="74"/>
      <c r="F13" s="74"/>
      <c r="G13" s="74"/>
      <c r="H13" s="74"/>
      <c r="I13" s="74"/>
      <c r="J13" s="74"/>
      <c r="K13" s="78" t="str">
        <f t="shared" si="0"/>
        <v/>
      </c>
      <c r="L13" s="75" t="s">
        <v>1007</v>
      </c>
      <c r="M13" s="63"/>
    </row>
    <row r="14" spans="1:13" ht="29" x14ac:dyDescent="0.35">
      <c r="A14" s="72" t="s">
        <v>810</v>
      </c>
      <c r="B14" s="73" t="s">
        <v>811</v>
      </c>
      <c r="C14" s="63" t="s">
        <v>1006</v>
      </c>
      <c r="D14" s="63"/>
      <c r="E14" s="74"/>
      <c r="F14" s="74"/>
      <c r="G14" s="74"/>
      <c r="H14" s="74"/>
      <c r="I14" s="74"/>
      <c r="J14" s="74"/>
      <c r="K14" s="78" t="str">
        <f t="shared" si="0"/>
        <v/>
      </c>
      <c r="L14" s="75" t="s">
        <v>1007</v>
      </c>
      <c r="M14" s="63"/>
    </row>
    <row r="15" spans="1:13" ht="29" x14ac:dyDescent="0.35">
      <c r="A15" s="72" t="s">
        <v>819</v>
      </c>
      <c r="B15" s="73" t="s">
        <v>820</v>
      </c>
      <c r="C15" s="63" t="s">
        <v>1006</v>
      </c>
      <c r="D15" s="63"/>
      <c r="E15" s="74"/>
      <c r="F15" s="74"/>
      <c r="G15" s="74"/>
      <c r="H15" s="74"/>
      <c r="I15" s="74"/>
      <c r="J15" s="74"/>
      <c r="K15" s="78" t="str">
        <f t="shared" si="0"/>
        <v/>
      </c>
      <c r="L15" s="75" t="s">
        <v>1007</v>
      </c>
      <c r="M15" s="63"/>
    </row>
    <row r="16" spans="1:13" x14ac:dyDescent="0.35">
      <c r="A16" s="72" t="s">
        <v>825</v>
      </c>
      <c r="B16" s="73" t="s">
        <v>826</v>
      </c>
      <c r="C16" s="63" t="s">
        <v>1006</v>
      </c>
      <c r="D16" s="63"/>
      <c r="E16" s="74"/>
      <c r="F16" s="74"/>
      <c r="G16" s="74"/>
      <c r="H16" s="74"/>
      <c r="I16" s="74"/>
      <c r="J16" s="74"/>
      <c r="K16" s="78" t="str">
        <f t="shared" si="0"/>
        <v/>
      </c>
      <c r="L16" s="75" t="s">
        <v>1007</v>
      </c>
      <c r="M16" s="63"/>
    </row>
    <row r="17" spans="1:13" ht="29" x14ac:dyDescent="0.35">
      <c r="A17" s="72" t="s">
        <v>836</v>
      </c>
      <c r="B17" s="73" t="s">
        <v>837</v>
      </c>
      <c r="C17" s="63" t="s">
        <v>1006</v>
      </c>
      <c r="D17" s="63"/>
      <c r="E17" s="74"/>
      <c r="F17" s="74"/>
      <c r="G17" s="74"/>
      <c r="H17" s="74"/>
      <c r="I17" s="74"/>
      <c r="J17" s="74"/>
      <c r="K17" s="78" t="str">
        <f t="shared" si="0"/>
        <v/>
      </c>
      <c r="L17" s="75" t="s">
        <v>1007</v>
      </c>
      <c r="M17" s="63"/>
    </row>
    <row r="18" spans="1:13" x14ac:dyDescent="0.35">
      <c r="A18" s="72" t="s">
        <v>846</v>
      </c>
      <c r="B18" s="73" t="s">
        <v>847</v>
      </c>
      <c r="C18" s="63" t="s">
        <v>1006</v>
      </c>
      <c r="D18" s="63"/>
      <c r="E18" s="74"/>
      <c r="F18" s="74"/>
      <c r="G18" s="74"/>
      <c r="H18" s="74"/>
      <c r="I18" s="74"/>
      <c r="J18" s="74"/>
      <c r="K18" s="78" t="str">
        <f t="shared" si="0"/>
        <v/>
      </c>
      <c r="L18" s="75" t="s">
        <v>1007</v>
      </c>
      <c r="M18" s="63"/>
    </row>
    <row r="19" spans="1:13" x14ac:dyDescent="0.35">
      <c r="A19" s="72" t="s">
        <v>855</v>
      </c>
      <c r="B19" s="73" t="s">
        <v>856</v>
      </c>
      <c r="C19" s="63" t="s">
        <v>1006</v>
      </c>
      <c r="D19" s="63"/>
      <c r="E19" s="74"/>
      <c r="F19" s="74"/>
      <c r="G19" s="74"/>
      <c r="H19" s="74"/>
      <c r="I19" s="74"/>
      <c r="J19" s="74"/>
      <c r="K19" s="78" t="str">
        <f t="shared" si="0"/>
        <v/>
      </c>
      <c r="L19" s="75" t="s">
        <v>1007</v>
      </c>
      <c r="M19" s="63"/>
    </row>
    <row r="20" spans="1:13" ht="29" x14ac:dyDescent="0.35">
      <c r="A20" s="72" t="s">
        <v>864</v>
      </c>
      <c r="B20" s="73" t="s">
        <v>865</v>
      </c>
      <c r="C20" s="63" t="s">
        <v>1006</v>
      </c>
      <c r="D20" s="63"/>
      <c r="E20" s="74"/>
      <c r="F20" s="74"/>
      <c r="G20" s="74"/>
      <c r="H20" s="74"/>
      <c r="I20" s="74"/>
      <c r="J20" s="74"/>
      <c r="K20" s="78" t="str">
        <f t="shared" si="0"/>
        <v/>
      </c>
      <c r="L20" s="75" t="s">
        <v>1007</v>
      </c>
      <c r="M20" s="63"/>
    </row>
    <row r="21" spans="1:13" x14ac:dyDescent="0.35">
      <c r="A21" s="72" t="s">
        <v>874</v>
      </c>
      <c r="B21" s="73" t="s">
        <v>875</v>
      </c>
      <c r="C21" s="63" t="s">
        <v>1006</v>
      </c>
      <c r="D21" s="63"/>
      <c r="E21" s="74"/>
      <c r="F21" s="74"/>
      <c r="G21" s="74"/>
      <c r="H21" s="74"/>
      <c r="I21" s="74"/>
      <c r="J21" s="74"/>
      <c r="K21" s="78" t="str">
        <f t="shared" si="0"/>
        <v/>
      </c>
      <c r="L21" s="75" t="s">
        <v>1007</v>
      </c>
      <c r="M21" s="63"/>
    </row>
    <row r="22" spans="1:13" ht="29" x14ac:dyDescent="0.35">
      <c r="A22" s="72" t="s">
        <v>884</v>
      </c>
      <c r="B22" s="73" t="s">
        <v>885</v>
      </c>
      <c r="C22" s="63" t="s">
        <v>1006</v>
      </c>
      <c r="D22" s="63"/>
      <c r="E22" s="74"/>
      <c r="F22" s="74"/>
      <c r="G22" s="74"/>
      <c r="H22" s="74"/>
      <c r="I22" s="74"/>
      <c r="J22" s="74"/>
      <c r="K22" s="78" t="str">
        <f t="shared" si="0"/>
        <v/>
      </c>
      <c r="L22" s="75" t="s">
        <v>1007</v>
      </c>
      <c r="M22" s="63"/>
    </row>
    <row r="23" spans="1:13" x14ac:dyDescent="0.35">
      <c r="A23" s="72" t="s">
        <v>894</v>
      </c>
      <c r="B23" s="73" t="s">
        <v>895</v>
      </c>
      <c r="C23" s="63" t="s">
        <v>1006</v>
      </c>
      <c r="D23" s="63"/>
      <c r="E23" s="74"/>
      <c r="F23" s="74"/>
      <c r="G23" s="74"/>
      <c r="H23" s="74"/>
      <c r="I23" s="74"/>
      <c r="J23" s="74"/>
      <c r="K23" s="78" t="str">
        <f t="shared" si="0"/>
        <v/>
      </c>
      <c r="L23" s="75" t="s">
        <v>1007</v>
      </c>
      <c r="M23" s="63"/>
    </row>
    <row r="24" spans="1:13" x14ac:dyDescent="0.35">
      <c r="A24" s="72" t="s">
        <v>904</v>
      </c>
      <c r="B24" s="73" t="s">
        <v>905</v>
      </c>
      <c r="C24" s="63" t="s">
        <v>1006</v>
      </c>
      <c r="D24" s="63"/>
      <c r="E24" s="74"/>
      <c r="F24" s="74"/>
      <c r="G24" s="74"/>
      <c r="H24" s="74"/>
      <c r="I24" s="74"/>
      <c r="J24" s="74"/>
      <c r="K24" s="78" t="str">
        <f t="shared" si="0"/>
        <v/>
      </c>
      <c r="L24" s="75" t="s">
        <v>1007</v>
      </c>
      <c r="M24" s="63"/>
    </row>
    <row r="25" spans="1:13" x14ac:dyDescent="0.35">
      <c r="A25" s="72" t="s">
        <v>912</v>
      </c>
      <c r="B25" s="73" t="s">
        <v>913</v>
      </c>
      <c r="C25" s="63" t="s">
        <v>1006</v>
      </c>
      <c r="D25" s="63"/>
      <c r="E25" s="74"/>
      <c r="F25" s="74"/>
      <c r="G25" s="74"/>
      <c r="H25" s="74"/>
      <c r="I25" s="74"/>
      <c r="J25" s="74"/>
      <c r="K25" s="78" t="str">
        <f t="shared" si="0"/>
        <v/>
      </c>
      <c r="L25" s="75" t="s">
        <v>1007</v>
      </c>
      <c r="M25" s="63"/>
    </row>
    <row r="26" spans="1:13" ht="29" x14ac:dyDescent="0.35">
      <c r="A26" s="72" t="s">
        <v>920</v>
      </c>
      <c r="B26" s="73" t="s">
        <v>921</v>
      </c>
      <c r="C26" s="63" t="s">
        <v>1006</v>
      </c>
      <c r="D26" s="63"/>
      <c r="E26" s="74"/>
      <c r="F26" s="74"/>
      <c r="G26" s="74"/>
      <c r="H26" s="74"/>
      <c r="I26" s="74"/>
      <c r="J26" s="74"/>
      <c r="K26" s="78" t="str">
        <f t="shared" si="0"/>
        <v/>
      </c>
      <c r="L26" s="75" t="s">
        <v>1007</v>
      </c>
      <c r="M26" s="63"/>
    </row>
    <row r="27" spans="1:13" x14ac:dyDescent="0.35">
      <c r="A27" s="72" t="s">
        <v>928</v>
      </c>
      <c r="B27" s="73" t="s">
        <v>929</v>
      </c>
      <c r="C27" s="63" t="s">
        <v>1006</v>
      </c>
      <c r="D27" s="63"/>
      <c r="E27" s="74"/>
      <c r="F27" s="74"/>
      <c r="G27" s="74"/>
      <c r="H27" s="74"/>
      <c r="I27" s="74"/>
      <c r="J27" s="74"/>
      <c r="K27" s="78" t="str">
        <f t="shared" si="0"/>
        <v/>
      </c>
      <c r="L27" s="75" t="s">
        <v>1007</v>
      </c>
      <c r="M27" s="63"/>
    </row>
    <row r="28" spans="1:13" x14ac:dyDescent="0.35">
      <c r="A28" s="72" t="s">
        <v>940</v>
      </c>
      <c r="B28" s="73" t="s">
        <v>941</v>
      </c>
      <c r="C28" s="63" t="s">
        <v>1006</v>
      </c>
      <c r="D28" s="63"/>
      <c r="E28" s="74"/>
      <c r="F28" s="74"/>
      <c r="G28" s="74"/>
      <c r="H28" s="74"/>
      <c r="I28" s="74"/>
      <c r="J28" s="74"/>
      <c r="K28" s="78" t="str">
        <f t="shared" si="0"/>
        <v/>
      </c>
      <c r="L28" s="75" t="s">
        <v>1007</v>
      </c>
      <c r="M28" s="63"/>
    </row>
  </sheetData>
  <mergeCells count="2">
    <mergeCell ref="A1:M1"/>
    <mergeCell ref="A2:M2"/>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C458CC-B5A9-40CA-9A90-F80AAD5D96AC}">
  <sheetPr>
    <tabColor rgb="FF8E7AA3"/>
  </sheetPr>
  <dimension ref="A1:O34"/>
  <sheetViews>
    <sheetView workbookViewId="0">
      <selection activeCell="A34" sqref="A34:O34"/>
    </sheetView>
  </sheetViews>
  <sheetFormatPr baseColWidth="10" defaultRowHeight="14.5" x14ac:dyDescent="0.35"/>
  <cols>
    <col min="1" max="3" width="15.453125" customWidth="1"/>
    <col min="4" max="4" width="3.26953125" customWidth="1"/>
    <col min="5" max="7" width="15.453125" customWidth="1"/>
    <col min="8" max="8" width="3.26953125" customWidth="1"/>
    <col min="9" max="11" width="15.453125" customWidth="1"/>
    <col min="12" max="12" width="3.26953125" customWidth="1"/>
    <col min="13" max="15" width="15.453125" customWidth="1"/>
  </cols>
  <sheetData>
    <row r="1" spans="1:15" ht="38" customHeight="1" x14ac:dyDescent="0.6">
      <c r="A1" s="138" t="s">
        <v>1044</v>
      </c>
      <c r="B1" s="138"/>
      <c r="C1" s="138"/>
      <c r="D1" s="138"/>
      <c r="E1" s="138"/>
      <c r="F1" s="138"/>
      <c r="G1" s="138"/>
      <c r="H1" s="138"/>
      <c r="I1" s="138"/>
      <c r="J1" s="138"/>
      <c r="K1" s="138"/>
      <c r="L1" s="138"/>
      <c r="M1" s="138"/>
      <c r="N1" s="138"/>
      <c r="O1" s="138"/>
    </row>
    <row r="2" spans="1:15" ht="26" customHeight="1" x14ac:dyDescent="0.35">
      <c r="A2" s="139" t="s">
        <v>1045</v>
      </c>
      <c r="B2" s="139"/>
      <c r="C2" s="139"/>
      <c r="D2" s="139"/>
      <c r="E2" s="139"/>
      <c r="F2" s="139"/>
      <c r="G2" s="139"/>
      <c r="H2" s="139"/>
      <c r="I2" s="139"/>
      <c r="J2" s="139"/>
      <c r="K2" s="139"/>
      <c r="L2" s="139"/>
      <c r="M2" s="139"/>
      <c r="N2" s="139"/>
      <c r="O2" s="139"/>
    </row>
    <row r="4" spans="1:15" ht="28" customHeight="1" x14ac:dyDescent="0.4">
      <c r="A4" s="140" t="s">
        <v>1046</v>
      </c>
      <c r="B4" s="140"/>
      <c r="C4" s="140"/>
      <c r="E4" s="143" t="s">
        <v>1067</v>
      </c>
      <c r="F4" s="143"/>
      <c r="G4" s="143"/>
      <c r="I4" s="151" t="s">
        <v>1078</v>
      </c>
      <c r="J4" s="151"/>
      <c r="K4" s="151"/>
      <c r="M4" s="134" t="s">
        <v>1089</v>
      </c>
      <c r="N4" s="134"/>
      <c r="O4" s="134"/>
    </row>
    <row r="5" spans="1:15" x14ac:dyDescent="0.35">
      <c r="A5" s="141" t="s">
        <v>1047</v>
      </c>
      <c r="B5" s="141"/>
      <c r="C5" s="141"/>
      <c r="E5" s="144" t="s">
        <v>1068</v>
      </c>
      <c r="F5" s="144"/>
      <c r="G5" s="144"/>
      <c r="I5" s="152" t="s">
        <v>1079</v>
      </c>
      <c r="J5" s="152"/>
      <c r="K5" s="152"/>
      <c r="M5" s="135" t="s">
        <v>1090</v>
      </c>
      <c r="N5" s="135"/>
      <c r="O5" s="135"/>
    </row>
    <row r="6" spans="1:15" x14ac:dyDescent="0.35">
      <c r="A6" s="141"/>
      <c r="B6" s="141"/>
      <c r="C6" s="141"/>
      <c r="E6" s="144"/>
      <c r="F6" s="144"/>
      <c r="G6" s="144"/>
      <c r="I6" s="152"/>
      <c r="J6" s="152"/>
      <c r="K6" s="152"/>
      <c r="M6" s="135"/>
      <c r="N6" s="135"/>
      <c r="O6" s="135"/>
    </row>
    <row r="7" spans="1:15" x14ac:dyDescent="0.35">
      <c r="A7" s="3"/>
      <c r="B7" s="3"/>
      <c r="C7" s="3"/>
      <c r="E7" s="10"/>
      <c r="F7" s="10"/>
      <c r="G7" s="10"/>
      <c r="I7" s="17"/>
      <c r="J7" s="17"/>
      <c r="K7" s="17"/>
      <c r="M7" s="24"/>
      <c r="N7" s="24"/>
      <c r="O7" s="24"/>
    </row>
    <row r="8" spans="1:15" x14ac:dyDescent="0.35">
      <c r="A8" s="142" t="s">
        <v>1048</v>
      </c>
      <c r="B8" s="142"/>
      <c r="C8" s="142"/>
      <c r="E8" s="145" t="s">
        <v>1069</v>
      </c>
      <c r="F8" s="145"/>
      <c r="G8" s="145"/>
      <c r="I8" s="153" t="s">
        <v>1080</v>
      </c>
      <c r="J8" s="153"/>
      <c r="K8" s="153"/>
      <c r="M8" s="136" t="s">
        <v>1091</v>
      </c>
      <c r="N8" s="136"/>
      <c r="O8" s="136"/>
    </row>
    <row r="9" spans="1:15" x14ac:dyDescent="0.35">
      <c r="A9" s="3"/>
      <c r="B9" s="3"/>
      <c r="C9" s="3"/>
      <c r="E9" s="10"/>
      <c r="F9" s="10"/>
      <c r="G9" s="10"/>
      <c r="I9" s="17"/>
      <c r="J9" s="17"/>
      <c r="K9" s="17"/>
      <c r="M9" s="24"/>
      <c r="N9" s="24"/>
      <c r="O9" s="24"/>
    </row>
    <row r="10" spans="1:15" ht="26" customHeight="1" x14ac:dyDescent="0.35">
      <c r="A10" s="5" t="s">
        <v>1049</v>
      </c>
      <c r="B10" s="6" t="s">
        <v>1050</v>
      </c>
      <c r="C10" s="4" t="s">
        <v>1051</v>
      </c>
      <c r="E10" s="12" t="s">
        <v>1070</v>
      </c>
      <c r="F10" s="13" t="s">
        <v>1071</v>
      </c>
      <c r="G10" s="11" t="s">
        <v>1072</v>
      </c>
      <c r="I10" s="19" t="s">
        <v>1081</v>
      </c>
      <c r="J10" s="20" t="s">
        <v>1082</v>
      </c>
      <c r="K10" s="18" t="s">
        <v>1083</v>
      </c>
      <c r="M10" s="26" t="s">
        <v>1092</v>
      </c>
      <c r="N10" s="27" t="s">
        <v>1093</v>
      </c>
      <c r="O10" s="25" t="s">
        <v>1094</v>
      </c>
    </row>
    <row r="11" spans="1:15" x14ac:dyDescent="0.35">
      <c r="A11" s="3"/>
      <c r="B11" s="3"/>
      <c r="C11" s="3"/>
      <c r="E11" s="10"/>
      <c r="F11" s="10"/>
      <c r="G11" s="10"/>
      <c r="I11" s="17"/>
      <c r="J11" s="17"/>
      <c r="K11" s="17"/>
      <c r="M11" s="24"/>
      <c r="N11" s="24"/>
      <c r="O11" s="24"/>
    </row>
    <row r="12" spans="1:15" ht="30" customHeight="1" x14ac:dyDescent="0.4">
      <c r="A12" s="150" t="s">
        <v>1052</v>
      </c>
      <c r="B12" s="150"/>
      <c r="C12" s="150"/>
      <c r="E12" s="133" t="s">
        <v>1073</v>
      </c>
      <c r="F12" s="133"/>
      <c r="G12" s="133"/>
      <c r="I12" s="154" t="s">
        <v>1084</v>
      </c>
      <c r="J12" s="154"/>
      <c r="K12" s="154"/>
      <c r="M12" s="137" t="s">
        <v>1095</v>
      </c>
      <c r="N12" s="137"/>
      <c r="O12" s="137"/>
    </row>
    <row r="13" spans="1:15" x14ac:dyDescent="0.35">
      <c r="A13" s="146" t="s">
        <v>1053</v>
      </c>
      <c r="B13" s="146"/>
      <c r="C13" s="146"/>
      <c r="E13" s="171" t="s">
        <v>1053</v>
      </c>
      <c r="F13" s="171"/>
      <c r="G13" s="171"/>
      <c r="I13" s="155" t="s">
        <v>1053</v>
      </c>
      <c r="J13" s="155"/>
      <c r="K13" s="155"/>
      <c r="M13" s="156" t="s">
        <v>1053</v>
      </c>
      <c r="N13" s="156"/>
      <c r="O13" s="156"/>
    </row>
    <row r="14" spans="1:15" x14ac:dyDescent="0.35">
      <c r="A14" s="146"/>
      <c r="B14" s="146"/>
      <c r="C14" s="146"/>
      <c r="E14" s="171"/>
      <c r="F14" s="171"/>
      <c r="G14" s="171"/>
      <c r="I14" s="155"/>
      <c r="J14" s="155"/>
      <c r="K14" s="155"/>
      <c r="M14" s="156"/>
      <c r="N14" s="156"/>
      <c r="O14" s="156"/>
    </row>
    <row r="15" spans="1:15" x14ac:dyDescent="0.35">
      <c r="A15" s="146"/>
      <c r="B15" s="146"/>
      <c r="C15" s="146"/>
      <c r="E15" s="171"/>
      <c r="F15" s="171"/>
      <c r="G15" s="171"/>
      <c r="I15" s="155"/>
      <c r="J15" s="155"/>
      <c r="K15" s="155"/>
      <c r="M15" s="156"/>
      <c r="N15" s="156"/>
      <c r="O15" s="156"/>
    </row>
    <row r="16" spans="1:15" x14ac:dyDescent="0.35">
      <c r="A16" s="3"/>
      <c r="B16" s="3"/>
      <c r="C16" s="3"/>
      <c r="E16" s="10"/>
      <c r="F16" s="10"/>
      <c r="G16" s="10"/>
      <c r="I16" s="17"/>
      <c r="J16" s="17"/>
      <c r="K16" s="17"/>
      <c r="M16" s="24"/>
      <c r="N16" s="24"/>
      <c r="O16" s="24"/>
    </row>
    <row r="17" spans="1:15" x14ac:dyDescent="0.35">
      <c r="A17" s="147" t="s">
        <v>1054</v>
      </c>
      <c r="B17" s="147"/>
      <c r="C17" s="147"/>
      <c r="E17" s="166" t="s">
        <v>1074</v>
      </c>
      <c r="F17" s="166"/>
      <c r="G17" s="166"/>
      <c r="I17" s="169" t="s">
        <v>1085</v>
      </c>
      <c r="J17" s="169"/>
      <c r="K17" s="169"/>
      <c r="M17" s="164" t="s">
        <v>1096</v>
      </c>
      <c r="N17" s="164"/>
      <c r="O17" s="164"/>
    </row>
    <row r="18" spans="1:15" x14ac:dyDescent="0.35">
      <c r="A18" s="3"/>
      <c r="B18" s="3"/>
      <c r="C18" s="3"/>
      <c r="E18" s="10"/>
      <c r="F18" s="10"/>
      <c r="G18" s="10"/>
      <c r="I18" s="17"/>
      <c r="J18" s="17"/>
      <c r="K18" s="17"/>
      <c r="M18" s="24"/>
      <c r="N18" s="24"/>
      <c r="O18" s="24"/>
    </row>
    <row r="19" spans="1:15" ht="28" customHeight="1" x14ac:dyDescent="0.35">
      <c r="A19" s="148" t="s">
        <v>1055</v>
      </c>
      <c r="B19" s="148"/>
      <c r="C19" s="148"/>
      <c r="E19" s="167" t="s">
        <v>1075</v>
      </c>
      <c r="F19" s="167"/>
      <c r="G19" s="167"/>
      <c r="I19" s="160" t="s">
        <v>1086</v>
      </c>
      <c r="J19" s="160"/>
      <c r="K19" s="160"/>
      <c r="M19" s="165" t="s">
        <v>1097</v>
      </c>
      <c r="N19" s="165"/>
      <c r="O19" s="165"/>
    </row>
    <row r="20" spans="1:15" x14ac:dyDescent="0.35">
      <c r="A20" s="3"/>
      <c r="B20" s="3"/>
      <c r="C20" s="3"/>
      <c r="E20" s="10"/>
      <c r="F20" s="10"/>
      <c r="G20" s="10"/>
      <c r="I20" s="17"/>
      <c r="J20" s="17"/>
      <c r="K20" s="17"/>
      <c r="M20" s="24"/>
      <c r="N20" s="24"/>
      <c r="O20" s="24"/>
    </row>
    <row r="21" spans="1:15" ht="24" customHeight="1" x14ac:dyDescent="0.35">
      <c r="A21" s="9" t="s">
        <v>1056</v>
      </c>
      <c r="B21" s="9" t="s">
        <v>1057</v>
      </c>
      <c r="C21" s="9" t="s">
        <v>1058</v>
      </c>
      <c r="E21" s="16" t="s">
        <v>1056</v>
      </c>
      <c r="F21" s="16" t="s">
        <v>1057</v>
      </c>
      <c r="G21" s="16" t="s">
        <v>1058</v>
      </c>
      <c r="I21" s="23" t="s">
        <v>1056</v>
      </c>
      <c r="J21" s="23" t="s">
        <v>1057</v>
      </c>
      <c r="K21" s="23" t="s">
        <v>1058</v>
      </c>
      <c r="M21" s="30" t="s">
        <v>1056</v>
      </c>
      <c r="N21" s="30" t="s">
        <v>1057</v>
      </c>
      <c r="O21" s="30" t="s">
        <v>1058</v>
      </c>
    </row>
    <row r="22" spans="1:15" ht="24" customHeight="1" x14ac:dyDescent="0.35">
      <c r="A22" s="8" t="s">
        <v>1059</v>
      </c>
      <c r="B22" s="8" t="s">
        <v>1060</v>
      </c>
      <c r="C22" s="8" t="s">
        <v>1061</v>
      </c>
      <c r="E22" s="15" t="s">
        <v>1059</v>
      </c>
      <c r="F22" s="15" t="s">
        <v>1060</v>
      </c>
      <c r="G22" s="15" t="s">
        <v>1061</v>
      </c>
      <c r="I22" s="22" t="s">
        <v>1059</v>
      </c>
      <c r="J22" s="22" t="s">
        <v>1060</v>
      </c>
      <c r="K22" s="22" t="s">
        <v>1061</v>
      </c>
      <c r="M22" s="29" t="s">
        <v>1059</v>
      </c>
      <c r="N22" s="29" t="s">
        <v>1060</v>
      </c>
      <c r="O22" s="29" t="s">
        <v>1061</v>
      </c>
    </row>
    <row r="23" spans="1:15" ht="24" customHeight="1" x14ac:dyDescent="0.35">
      <c r="A23" s="7" t="s">
        <v>1062</v>
      </c>
      <c r="B23" s="7" t="s">
        <v>1063</v>
      </c>
      <c r="C23" s="7" t="s">
        <v>1064</v>
      </c>
      <c r="E23" s="14" t="s">
        <v>1062</v>
      </c>
      <c r="F23" s="14" t="s">
        <v>1063</v>
      </c>
      <c r="G23" s="14" t="s">
        <v>1064</v>
      </c>
      <c r="I23" s="21" t="s">
        <v>1062</v>
      </c>
      <c r="J23" s="21" t="s">
        <v>1063</v>
      </c>
      <c r="K23" s="21" t="s">
        <v>1064</v>
      </c>
      <c r="M23" s="28" t="s">
        <v>1062</v>
      </c>
      <c r="N23" s="28" t="s">
        <v>1063</v>
      </c>
      <c r="O23" s="28" t="s">
        <v>1064</v>
      </c>
    </row>
    <row r="24" spans="1:15" x14ac:dyDescent="0.35">
      <c r="A24" s="3"/>
      <c r="B24" s="3"/>
      <c r="C24" s="3"/>
      <c r="E24" s="10"/>
      <c r="F24" s="10"/>
      <c r="G24" s="10"/>
      <c r="I24" s="17"/>
      <c r="J24" s="17"/>
      <c r="K24" s="17"/>
      <c r="M24" s="24"/>
      <c r="N24" s="24"/>
      <c r="O24" s="24"/>
    </row>
    <row r="25" spans="1:15" x14ac:dyDescent="0.35">
      <c r="A25" s="149" t="s">
        <v>1065</v>
      </c>
      <c r="B25" s="149"/>
      <c r="C25" s="149"/>
      <c r="E25" s="168" t="s">
        <v>1076</v>
      </c>
      <c r="F25" s="168"/>
      <c r="G25" s="168"/>
      <c r="I25" s="161" t="s">
        <v>1087</v>
      </c>
      <c r="J25" s="161"/>
      <c r="K25" s="161"/>
      <c r="M25" s="157" t="s">
        <v>1098</v>
      </c>
      <c r="N25" s="157"/>
      <c r="O25" s="157"/>
    </row>
    <row r="26" spans="1:15" x14ac:dyDescent="0.35">
      <c r="A26" s="3"/>
      <c r="B26" s="3"/>
      <c r="C26" s="3"/>
      <c r="E26" s="10"/>
      <c r="F26" s="10"/>
      <c r="G26" s="10"/>
      <c r="I26" s="17"/>
      <c r="J26" s="17"/>
      <c r="K26" s="17"/>
      <c r="M26" s="24"/>
      <c r="N26" s="24"/>
      <c r="O26" s="24"/>
    </row>
    <row r="27" spans="1:15" x14ac:dyDescent="0.35">
      <c r="A27" s="170" t="s">
        <v>1066</v>
      </c>
      <c r="B27" s="170"/>
      <c r="C27" s="170"/>
      <c r="E27" s="163" t="s">
        <v>1077</v>
      </c>
      <c r="F27" s="163"/>
      <c r="G27" s="163"/>
      <c r="I27" s="162" t="s">
        <v>1088</v>
      </c>
      <c r="J27" s="162"/>
      <c r="K27" s="162"/>
      <c r="M27" s="158" t="s">
        <v>1099</v>
      </c>
      <c r="N27" s="158"/>
      <c r="O27" s="158"/>
    </row>
    <row r="28" spans="1:15" x14ac:dyDescent="0.35">
      <c r="A28" s="170"/>
      <c r="B28" s="170"/>
      <c r="C28" s="170"/>
      <c r="E28" s="163"/>
      <c r="F28" s="163"/>
      <c r="G28" s="163"/>
      <c r="I28" s="162"/>
      <c r="J28" s="162"/>
      <c r="K28" s="162"/>
      <c r="M28" s="158"/>
      <c r="N28" s="158"/>
      <c r="O28" s="158"/>
    </row>
    <row r="29" spans="1:15" x14ac:dyDescent="0.35">
      <c r="A29" s="170"/>
      <c r="B29" s="170"/>
      <c r="C29" s="170"/>
      <c r="E29" s="163"/>
      <c r="F29" s="163"/>
      <c r="G29" s="163"/>
      <c r="I29" s="162"/>
      <c r="J29" s="162"/>
      <c r="K29" s="162"/>
      <c r="M29" s="158"/>
      <c r="N29" s="158"/>
      <c r="O29" s="158"/>
    </row>
    <row r="30" spans="1:15" x14ac:dyDescent="0.35">
      <c r="A30" s="170"/>
      <c r="B30" s="170"/>
      <c r="C30" s="170"/>
      <c r="E30" s="163"/>
      <c r="F30" s="163"/>
      <c r="G30" s="163"/>
      <c r="I30" s="162"/>
      <c r="J30" s="162"/>
      <c r="K30" s="162"/>
      <c r="M30" s="158"/>
      <c r="N30" s="158"/>
      <c r="O30" s="158"/>
    </row>
    <row r="31" spans="1:15" x14ac:dyDescent="0.35">
      <c r="A31" s="3"/>
      <c r="B31" s="3"/>
      <c r="C31" s="3"/>
      <c r="E31" s="10"/>
      <c r="F31" s="10"/>
      <c r="G31" s="10"/>
      <c r="I31" s="17"/>
      <c r="J31" s="17"/>
      <c r="K31" s="17"/>
      <c r="M31" s="24"/>
      <c r="N31" s="24"/>
      <c r="O31" s="24"/>
    </row>
    <row r="32" spans="1:15" x14ac:dyDescent="0.35">
      <c r="A32" s="3"/>
      <c r="B32" s="3"/>
      <c r="C32" s="3"/>
      <c r="E32" s="10"/>
      <c r="F32" s="10"/>
      <c r="G32" s="10"/>
      <c r="I32" s="17"/>
      <c r="J32" s="17"/>
      <c r="K32" s="17"/>
      <c r="M32" s="24"/>
      <c r="N32" s="24"/>
      <c r="O32" s="24"/>
    </row>
    <row r="34" spans="1:15" ht="28" customHeight="1" x14ac:dyDescent="0.35">
      <c r="A34" s="159" t="s">
        <v>1100</v>
      </c>
      <c r="B34" s="159"/>
      <c r="C34" s="159"/>
      <c r="D34" s="159"/>
      <c r="E34" s="159"/>
      <c r="F34" s="159"/>
      <c r="G34" s="159"/>
      <c r="H34" s="159"/>
      <c r="I34" s="159"/>
      <c r="J34" s="159"/>
      <c r="K34" s="159"/>
      <c r="L34" s="159"/>
      <c r="M34" s="159"/>
      <c r="N34" s="159"/>
      <c r="O34" s="159"/>
    </row>
  </sheetData>
  <mergeCells count="39">
    <mergeCell ref="E13:G15"/>
    <mergeCell ref="I13:K15"/>
    <mergeCell ref="M13:O15"/>
    <mergeCell ref="M25:O25"/>
    <mergeCell ref="M27:O30"/>
    <mergeCell ref="A34:O34"/>
    <mergeCell ref="I19:K19"/>
    <mergeCell ref="I25:K25"/>
    <mergeCell ref="I27:K30"/>
    <mergeCell ref="E27:G30"/>
    <mergeCell ref="M17:O17"/>
    <mergeCell ref="M19:O19"/>
    <mergeCell ref="E17:G17"/>
    <mergeCell ref="E19:G19"/>
    <mergeCell ref="E25:G25"/>
    <mergeCell ref="I17:K17"/>
    <mergeCell ref="A27:C30"/>
    <mergeCell ref="A13:C15"/>
    <mergeCell ref="A17:C17"/>
    <mergeCell ref="A19:C19"/>
    <mergeCell ref="A25:C25"/>
    <mergeCell ref="A12:C12"/>
    <mergeCell ref="A1:O1"/>
    <mergeCell ref="A2:O2"/>
    <mergeCell ref="A4:C4"/>
    <mergeCell ref="A5:C6"/>
    <mergeCell ref="A8:C8"/>
    <mergeCell ref="E4:G4"/>
    <mergeCell ref="E5:G6"/>
    <mergeCell ref="E8:G8"/>
    <mergeCell ref="I4:K4"/>
    <mergeCell ref="I5:K6"/>
    <mergeCell ref="I8:K8"/>
    <mergeCell ref="E12:G12"/>
    <mergeCell ref="M4:O4"/>
    <mergeCell ref="M5:O6"/>
    <mergeCell ref="M8:O8"/>
    <mergeCell ref="M12:O12"/>
    <mergeCell ref="I12:K1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11</vt:i4>
      </vt:variant>
      <vt:variant>
        <vt:lpstr>Plages nommées</vt:lpstr>
      </vt:variant>
      <vt:variant>
        <vt:i4>3</vt:i4>
      </vt:variant>
    </vt:vector>
  </HeadingPairs>
  <TitlesOfParts>
    <vt:vector size="14" baseType="lpstr">
      <vt:lpstr>Accueil</vt:lpstr>
      <vt:lpstr>Glossaire</vt:lpstr>
      <vt:lpstr>Agents</vt:lpstr>
      <vt:lpstr>Recherche guidée des solutions</vt:lpstr>
      <vt:lpstr>Usages &amp; Solutions</vt:lpstr>
      <vt:lpstr>Certifications</vt:lpstr>
      <vt:lpstr>Prompts</vt:lpstr>
      <vt:lpstr>Bibliothèque prompts</vt:lpstr>
      <vt:lpstr>Sources prompts</vt:lpstr>
      <vt:lpstr>Évaluations prompts</vt:lpstr>
      <vt:lpstr>Moodboard V2</vt:lpstr>
      <vt:lpstr>CouleurIA_Audience</vt:lpstr>
      <vt:lpstr>CouleurIA_Reponses</vt:lpstr>
      <vt:lpstr>CouleurIA_Resultat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BRICE DARDEAU</dc:creator>
  <cp:lastModifiedBy>BRICE DARDEAU</cp:lastModifiedBy>
  <dcterms:created xsi:type="dcterms:W3CDTF">2026-07-23T14:20:41Z</dcterms:created>
  <dcterms:modified xsi:type="dcterms:W3CDTF">2026-08-14T09:55:33Z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463cba9-5f6c-478d-9329-7b2295e4e8ed_Enabled">
    <vt:lpwstr>true</vt:lpwstr>
  </property>
  <property fmtid="{D5CDD505-2E9C-101B-9397-08002B2CF9AE}" pid="3" name="MSIP_Label_e463cba9-5f6c-478d-9329-7b2295e4e8ed_SetDate">
    <vt:lpwstr>2026-07-23T14:34:17Z</vt:lpwstr>
  </property>
  <property fmtid="{D5CDD505-2E9C-101B-9397-08002B2CF9AE}" pid="4" name="MSIP_Label_e463cba9-5f6c-478d-9329-7b2295e4e8ed_Method">
    <vt:lpwstr>Standard</vt:lpwstr>
  </property>
  <property fmtid="{D5CDD505-2E9C-101B-9397-08002B2CF9AE}" pid="5" name="MSIP_Label_e463cba9-5f6c-478d-9329-7b2295e4e8ed_Name">
    <vt:lpwstr>All Employees_2</vt:lpwstr>
  </property>
  <property fmtid="{D5CDD505-2E9C-101B-9397-08002B2CF9AE}" pid="6" name="MSIP_Label_e463cba9-5f6c-478d-9329-7b2295e4e8ed_SiteId">
    <vt:lpwstr>33440fc6-b7c7-412c-bb73-0e70b0198d5a</vt:lpwstr>
  </property>
  <property fmtid="{D5CDD505-2E9C-101B-9397-08002B2CF9AE}" pid="7" name="MSIP_Label_e463cba9-5f6c-478d-9329-7b2295e4e8ed_ActionId">
    <vt:lpwstr>2456986d-e23e-4ece-b75a-443f703aef31</vt:lpwstr>
  </property>
  <property fmtid="{D5CDD505-2E9C-101B-9397-08002B2CF9AE}" pid="8" name="MSIP_Label_e463cba9-5f6c-478d-9329-7b2295e4e8ed_ContentBits">
    <vt:lpwstr>0</vt:lpwstr>
  </property>
  <property fmtid="{D5CDD505-2E9C-101B-9397-08002B2CF9AE}" pid="9" name="MSIP_Label_e463cba9-5f6c-478d-9329-7b2295e4e8ed_Tag">
    <vt:lpwstr>10, 3, 0, 1</vt:lpwstr>
  </property>
</Properties>
</file>