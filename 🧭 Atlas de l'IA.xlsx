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tos365-my.sharepoint.com/personal/brice_dardeau_atos_net/Documents/Documents/GitHub/Playbook-IA-Francophone-de-Brice/"/>
    </mc:Choice>
  </mc:AlternateContent>
  <xr:revisionPtr revIDLastSave="6029" documentId="8_{B857BCC3-7EE5-4379-869F-79AC47428AC5}" xr6:coauthVersionLast="47" xr6:coauthVersionMax="47" xr10:uidLastSave="{302144B1-399A-4DB4-9E63-388042D28ABE}"/>
  <bookViews>
    <workbookView xWindow="-110" yWindow="-110" windowWidth="19420" windowHeight="10300" tabRatio="896" xr2:uid="{02F492F3-3D1D-4FEA-ACD4-D822B597EB0E}"/>
  </bookViews>
  <sheets>
    <sheet name="Accueil" sheetId="12" r:id="rId1"/>
    <sheet name="Boussole IA" sheetId="16" r:id="rId2"/>
    <sheet name="Explorer les solutions" sheetId="19" r:id="rId3"/>
    <sheet name="Comparer les écosystèmes" sheetId="21" r:id="rId4"/>
    <sheet name="Glossaire" sheetId="1" r:id="rId5"/>
    <sheet name="Agents &amp; assistants IA" sheetId="3" r:id="rId6"/>
    <sheet name="Recherche guidée des solutions" sheetId="8" state="hidden" r:id="rId7"/>
    <sheet name="Usages &amp; Solutions" sheetId="5" state="hidden" r:id="rId8"/>
    <sheet name="Certifications" sheetId="7" r:id="rId9"/>
    <sheet name="Prompts" sheetId="6" r:id="rId10"/>
    <sheet name="Bibliothèque prompts" sheetId="9" state="hidden" r:id="rId11"/>
    <sheet name="Sources prompts" sheetId="10" state="hidden" r:id="rId12"/>
    <sheet name="Évaluations prompts" sheetId="11" state="hidden" r:id="rId13"/>
    <sheet name="Moodboard V2" sheetId="14" state="hidden" r:id="rId14"/>
    <sheet name="Outils" sheetId="15" state="hidden" r:id="rId15"/>
    <sheet name="Boussole Références" sheetId="17" state="hidden" r:id="rId16"/>
    <sheet name="Architecture Atlas" sheetId="18" r:id="rId17"/>
    <sheet name="Comparaison Références" sheetId="20" state="hidden" r:id="rId18"/>
    <sheet name="Référentiel Agents" sheetId="22" state="hidden" r:id="rId19"/>
    <sheet name="Référentiel Glossaire" sheetId="23" state="hidden" r:id="rId20"/>
    <sheet name="Référentiel Certifications" sheetId="24" state="hidden" r:id="rId21"/>
  </sheets>
  <definedNames>
    <definedName name="_xlnm._FilterDatabase" localSheetId="5" hidden="1">'Agents &amp; assistants IA'!$A$7:$E$7</definedName>
    <definedName name="_xlnm._FilterDatabase" localSheetId="8" hidden="1">Certifications!$A$7:$J$7</definedName>
    <definedName name="_xlnm._FilterDatabase" localSheetId="4" hidden="1">Glossaire!$A$7:$C$7</definedName>
    <definedName name="_xlnm._FilterDatabase" localSheetId="6" hidden="1">'Recherche guidée des solutions'!$A$7:$D$7</definedName>
    <definedName name="Agents_Autonomie">'Référentiel Agents'!$R$2:$R$6</definedName>
    <definedName name="Agents_Types">'Référentiel Agents'!$Q$2:$Q$6</definedName>
    <definedName name="Boussole_Q1_Liste">'Boussole Références'!$AJ$2:$AJ$10</definedName>
    <definedName name="Boussole_Q2_Liste">_xlfn.ANCHORARRAY('Boussole Références'!$AO$2)</definedName>
    <definedName name="Boussole_Q3_Liste">'Boussole Références'!$AK$2:$AK$6</definedName>
    <definedName name="Boussole_Q4_Liste">'Boussole Références'!$AL$2:$AL$8</definedName>
    <definedName name="Boussole_Q5_Liste">'Boussole Références'!$AM$2:$AM$6</definedName>
    <definedName name="Comparaison_Besoins">'Comparaison Références'!$Q$2:$Q$13</definedName>
    <definedName name="CouleurIA_Audience">Accueil!$B$43</definedName>
    <definedName name="CouleurIA_Reponses">Accueil!$B$37:$B$40</definedName>
    <definedName name="CouleurIA_Resultat">Accueil!$A$41</definedName>
    <definedName name="Explorer_Capacites">'Explorer les solutions'!$M$2:$M$17</definedName>
    <definedName name="Explorer_Couts">'Explorer les solutions'!$Q$2:$Q$8</definedName>
    <definedName name="Explorer_Editeurs">'Explorer les solutions'!$P$2:$P$22</definedName>
    <definedName name="Explorer_Niveaux">'Explorer les solutions'!$O$2:$O$6</definedName>
    <definedName name="Explorer_Types">'Explorer les solutions'!$N$2:$N$19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10" i="12" l="1"/>
  <c r="A9" i="12"/>
  <c r="A8" i="7" a="1"/>
  <c r="A8" i="7" s="1"/>
  <c r="A8" i="3" a="1"/>
  <c r="A8" i="3" s="1"/>
  <c r="A10" i="21" a="1"/>
  <c r="A10" i="21" s="1"/>
  <c r="A8" i="21"/>
  <c r="A12" i="19" a="1"/>
  <c r="A12" i="19" s="1"/>
  <c r="A10" i="19" s="1"/>
  <c r="G2" i="19"/>
  <c r="AC5" i="17" a="1"/>
  <c r="AC5" i="17" s="1"/>
  <c r="U2" i="17"/>
  <c r="AO2" i="17" a="1"/>
  <c r="AO2" i="17" s="1"/>
  <c r="F11" i="16"/>
  <c r="F10" i="16"/>
  <c r="F9" i="16"/>
  <c r="F5" i="16"/>
  <c r="T2" i="17"/>
  <c r="F29" i="16" s="1"/>
  <c r="K44" i="11"/>
  <c r="K43" i="11"/>
  <c r="K42" i="11"/>
  <c r="K41" i="11"/>
  <c r="K40" i="11"/>
  <c r="K39" i="11"/>
  <c r="K38" i="11"/>
  <c r="K37" i="11"/>
  <c r="K36" i="11"/>
  <c r="K35" i="11"/>
  <c r="K34" i="11"/>
  <c r="K33" i="11"/>
  <c r="K32" i="11"/>
  <c r="K31" i="11"/>
  <c r="K30" i="11"/>
  <c r="K29" i="11"/>
  <c r="A12" i="12"/>
  <c r="C30" i="12"/>
  <c r="C29" i="12"/>
  <c r="C28" i="12"/>
  <c r="C27" i="12"/>
  <c r="C26" i="12"/>
  <c r="B9" i="12"/>
  <c r="A8" i="6" a="1"/>
  <c r="A8" i="6" s="1"/>
  <c r="B12" i="12"/>
  <c r="B6" i="12"/>
  <c r="A6" i="12"/>
  <c r="K28" i="11"/>
  <c r="K27" i="11"/>
  <c r="K26" i="11"/>
  <c r="K25" i="11"/>
  <c r="K24" i="11"/>
  <c r="K23" i="11"/>
  <c r="K22" i="11"/>
  <c r="K21" i="11"/>
  <c r="K20" i="11"/>
  <c r="K19" i="11"/>
  <c r="K18" i="11"/>
  <c r="K17" i="11"/>
  <c r="K16" i="11"/>
  <c r="K15" i="11"/>
  <c r="K14" i="11"/>
  <c r="K13" i="11"/>
  <c r="K12" i="11"/>
  <c r="K11" i="11"/>
  <c r="K10" i="11"/>
  <c r="K9" i="11"/>
  <c r="K8" i="11"/>
  <c r="K7" i="11"/>
  <c r="K6" i="11"/>
  <c r="K5" i="11"/>
  <c r="A8" i="1" a="1"/>
  <c r="A8" i="1" s="1"/>
  <c r="V22" i="5" a="1"/>
  <c r="V22" i="5" s="1"/>
  <c r="V21" i="5" a="1"/>
  <c r="V21" i="5" s="1"/>
  <c r="V20" i="5" a="1"/>
  <c r="V20" i="5" s="1"/>
  <c r="V19" i="5" a="1"/>
  <c r="V19" i="5" s="1"/>
  <c r="V18" i="5" a="1"/>
  <c r="V18" i="5" s="1"/>
  <c r="V17" i="5" a="1"/>
  <c r="V17" i="5" s="1"/>
  <c r="V16" i="5" a="1"/>
  <c r="V16" i="5" s="1"/>
  <c r="V15" i="5" a="1"/>
  <c r="V15" i="5" s="1"/>
  <c r="V14" i="5" a="1"/>
  <c r="V14" i="5" s="1"/>
  <c r="V13" i="5" a="1"/>
  <c r="V13" i="5" s="1"/>
  <c r="V12" i="5" a="1"/>
  <c r="V12" i="5" s="1"/>
  <c r="V11" i="5" a="1"/>
  <c r="V11" i="5" s="1"/>
  <c r="V10" i="5" a="1"/>
  <c r="V10" i="5" s="1"/>
  <c r="V9" i="5" a="1"/>
  <c r="V9" i="5" s="1"/>
  <c r="V8" i="5" a="1"/>
  <c r="V8" i="5" s="1"/>
  <c r="V7" i="5" a="1"/>
  <c r="V7" i="5" s="1"/>
  <c r="V6" i="5" a="1"/>
  <c r="V6" i="5" s="1"/>
  <c r="B42" i="12" l="1" a="1"/>
  <c r="B42" i="12" s="1"/>
  <c r="F20" i="16"/>
  <c r="F24" i="16"/>
  <c r="A8" i="8" a="1"/>
  <c r="A8" i="8" s="1"/>
  <c r="F21" i="16"/>
  <c r="F6" i="16"/>
  <c r="F31" i="16"/>
  <c r="F34" i="16"/>
  <c r="F7" i="16"/>
  <c r="R5" i="17" a="1"/>
  <c r="B43" i="12" a="1"/>
  <c r="B43" i="12" s="1"/>
  <c r="A41" i="12" a="1"/>
  <c r="A41" i="12" s="1"/>
  <c r="R5" i="17" l="1"/>
  <c r="F16" i="16"/>
  <c r="F15" i="16"/>
  <c r="F14" i="16"/>
  <c r="F17" i="16" s="1"/>
  <c r="F28" i="16"/>
  <c r="F27" i="16"/>
  <c r="F35" i="16"/>
  <c r="A21" i="1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<sst xmlns="http://schemas.openxmlformats.org/spreadsheetml/2006/main" count="8572" uniqueCount="2340">
  <si>
    <t>Terme</t>
  </si>
  <si>
    <t>Description</t>
  </si>
  <si>
    <t>IA Générative</t>
  </si>
  <si>
    <t>IA capable de produire :
texte
image
audio
vidéo
LLM</t>
  </si>
  <si>
    <t>Prompt</t>
  </si>
  <si>
    <t>Hallucination</t>
  </si>
  <si>
    <t>Contexte</t>
  </si>
  <si>
    <t>Informations fournies au modèle.</t>
  </si>
  <si>
    <t>Token</t>
  </si>
  <si>
    <t>Unité de texte utilisée par le modèle.</t>
  </si>
  <si>
    <t>Température</t>
  </si>
  <si>
    <t>Paramètre déterminant :
créativité
stabilité</t>
  </si>
  <si>
    <t>Copilot</t>
  </si>
  <si>
    <t>Assistant IA Microsoft.</t>
  </si>
  <si>
    <t>Agent</t>
  </si>
  <si>
    <t>Assistant IA orienté objectif.
Il peut :
raisonner ;
rechercher ;
agir.</t>
  </si>
  <si>
    <t>RAG</t>
  </si>
  <si>
    <t>Retrieval Augmented Generation.
Question
↓
Recherche documentaire
↓
LLM
↓
Réponse basée sur les documents</t>
  </si>
  <si>
    <t>Grounding</t>
  </si>
  <si>
    <t>Ancrage dans une source fiable.
Les agents Microsoft peuvent s'appuyer sur des connaissances d'entreprise pour répondre à partir des données du tenant.</t>
  </si>
  <si>
    <t>Chunking</t>
  </si>
  <si>
    <t>Découpage des documents pour le RAG.</t>
  </si>
  <si>
    <t>Embedding</t>
  </si>
  <si>
    <t>Représentation mathématique d'un texte.</t>
  </si>
  <si>
    <t>Vector Database</t>
  </si>
  <si>
    <t>Base utilisée pour stocker les embeddings.</t>
  </si>
  <si>
    <t>Orchestration</t>
  </si>
  <si>
    <t>Coordination :
agents
outils
workflows
L'Agent Academy Microsoft cite explicitement l'orchestration comme un concept à comprendre pour construire des agents.</t>
  </si>
  <si>
    <t>Power Automate</t>
  </si>
  <si>
    <t>Automatisation des processus.</t>
  </si>
  <si>
    <t>Dataverse</t>
  </si>
  <si>
    <t>Base de données métier de la Power Platform.
La certification AI Agent Builder demande une connaissance de Dataverse.</t>
  </si>
  <si>
    <t>Adaptive Cards</t>
  </si>
  <si>
    <t>Composants interactifs utilisés dans Teams et Copilot Studio.
La certification mentionne les Adaptive Cards parmi les connaissances attendues.</t>
  </si>
  <si>
    <t>Agentic AI</t>
  </si>
  <si>
    <t>Systèmes d'agents autonomes capables de :
planifier ;
prendre des décisions ;
exécuter des actions.
Les ressources internes Atos décrivent les agents IA comme des programmes capables de prendre des décisions et d'exécuter des actions, éventuellement avec supervision humaine.</t>
  </si>
  <si>
    <t>Multi-Agent</t>
  </si>
  <si>
    <t>Plusieurs agents spécialisés travaillent ensemble.
Exemple :
Agent RH
↓
Agent Finance
↓
Agent Reporting</t>
  </si>
  <si>
    <t>MCP</t>
  </si>
  <si>
    <t>Model Context Protocol.
Standard permettant aux modèles IA d'accéder à des outils et sources externes.
La certification Microsoft le cite explicitement parmi les notions attendues.</t>
  </si>
  <si>
    <t>Agent2Agent (A2A)</t>
  </si>
  <si>
    <t>Communication entre agents.
Également cité dans le périmètre de la certification.</t>
  </si>
  <si>
    <t>Tool Calling</t>
  </si>
  <si>
    <t>Capacité d'un agent à appeler :
API ;
base de données ;
outil métier.</t>
  </si>
  <si>
    <t>Agent Flow</t>
  </si>
  <si>
    <t>Mécanisme d'automatisation propre à Copilot Studio permettant d'intégrer applications et services via des flux d'agents.</t>
  </si>
  <si>
    <t>LangChain</t>
  </si>
  <si>
    <t>Framework permettant de connecter :
LLM ;
outils ;
données ;
workflows.
Les supports internes Atos présentent LangChain comme l'une des briques fondamentales de l'écosystème agentique.</t>
  </si>
  <si>
    <t>LangGraph</t>
  </si>
  <si>
    <t>Framework d'orchestration multi-agents. Atos le présente comme une extension permettant de créer des applications multi-acteurs et des runtimes agentiques sophistiqués.</t>
  </si>
  <si>
    <t>Work IQ</t>
  </si>
  <si>
    <t>Work IQ est une couche de veille sur l’espace de travail qui permet aux agents d’accéder aux données, au contexte et aux outils de l’organisation et de les raisonner. Il crée en permanence une compréhension sémantique sur Microsoft 365 et les systèmes externes avec une gouvernance intégrée et prenant en charge les autorisations.</t>
  </si>
  <si>
    <t>Instructions personnalisées</t>
  </si>
  <si>
    <t>Il s'agit d'instruction permanentes sur vous-même ou le contexte.</t>
  </si>
  <si>
    <t>Explain</t>
  </si>
  <si>
    <t>Fonction expliquer dans PowerPoint. Il suffit de faire un clique droit sur les objets pour comprendre le sens et travailler sa naration.</t>
  </si>
  <si>
    <t>Quelles sont les questions qu’un public exécutif est susceptible de poser après la diapositive 6 ?</t>
  </si>
  <si>
    <t>Existe-t-il un écart logique entre les diapositives 4 et 5 ? Comment dois-je les relier ?</t>
  </si>
  <si>
    <t>Quelle revendication de cette présentation est la plus susceptible de faire l’objet d’un pushback, et quelles données puis-je ajouter pour la prendre en charge ?</t>
  </si>
  <si>
    <t>Le flux narratif de ce jeu correspond-il à une structure problème-solution-résultat ?</t>
  </si>
  <si>
    <t>Créez une image photoréaliste d’un groupe diversifié de professionnels qui examinent un tableau de bord de données dans un bureau ouvert moderne, à la lumière naturelle chaude et au ton optimiste.</t>
  </si>
  <si>
    <t xml:space="preserve">Résumer les modifications ou un présentation </t>
  </si>
  <si>
    <t>Ajoutez des notes du présentateur à toutes les diapositives de cette présentation. Écrivez-les en tant que points de discussion concis et à puces qui étendent le contenu de la diapositive sans le répéter. Supposons qu’il s’agit d’un public professionnel avec un temps limité. Concentrez-vous sur les principales explications, les transitions et ce que je dois souligner lors de la présentation.</t>
  </si>
  <si>
    <t>Réécrire les notes de l’orateur sur cette diapositive pour qu’elles semblent plus conversationnelles. Cette réunion est une mise à jour interne de la direction, et non une présentation officielle du conseil d’administration.</t>
  </si>
  <si>
    <t>Faites en sorte que les notes de la diapositive 8 fassent autorité. Je présente des chiffres de retour sur investissement à un directeur financier et j’ai besoin de projeter la confiance.</t>
  </si>
  <si>
    <t>Condensez les notes de la diapositive 3 à trois puces que je peux regarder tout en parlant.</t>
  </si>
  <si>
    <t>Développez les notes de la diapositive 6. J’ai besoin de plus de contexte sur les données du marché de l’APAC afin de pouvoir répondre aux questions de suivi.</t>
  </si>
  <si>
    <t>Réécrire les notes de l’orateur sur la diapositive 5 comme si je fais une présentation à des responsables techniques qui posent des questions détaillées sur la mise en œuvre.</t>
  </si>
  <si>
    <t>Simplifiez la langue dans les notes de la diapositive 10. Mon public comprend des anglophones non natifs et je veux une formulation simple.</t>
  </si>
  <si>
    <t>Ajoutez une phrase de transition à la fin des notes de la diapositive 4 qui mène naturellement à la projection financière de la diapositive 5.</t>
  </si>
  <si>
    <t>Ajoutez un point de pause suggéré et une invite de questions dans les notes de la diapositive 7 pour inviter le public à réagir.</t>
  </si>
  <si>
    <t>Coach</t>
  </si>
  <si>
    <r>
      <t xml:space="preserve">Entraineur de présentation intégré dans PowerPoint. Se rendre dans </t>
    </r>
    <r>
      <rPr>
        <b/>
        <sz val="11"/>
        <color theme="1"/>
        <rFont val="Aptos Narrow"/>
        <family val="2"/>
        <scheme val="minor"/>
      </rPr>
      <t>Diaporama</t>
    </r>
    <r>
      <rPr>
        <sz val="11"/>
        <color theme="1"/>
        <rFont val="Aptos Narrow"/>
        <family val="2"/>
        <scheme val="minor"/>
      </rPr>
      <t xml:space="preserve"> et sélectionner </t>
    </r>
    <r>
      <rPr>
        <b/>
        <sz val="11"/>
        <color theme="1"/>
        <rFont val="Aptos Narrow"/>
        <family val="2"/>
        <scheme val="minor"/>
      </rPr>
      <t>Répéter avec Coach.</t>
    </r>
  </si>
  <si>
    <t>Utiliser Idea Coach pour produire un premier brouillon plus solide et qui necessite moins de révision par la suite.</t>
  </si>
  <si>
    <t>Stratégie</t>
  </si>
  <si>
    <t>Idea Coach</t>
  </si>
  <si>
    <t>Writing Coach</t>
  </si>
  <si>
    <t>Quand l'utiliser</t>
  </si>
  <si>
    <t>Pour trouver des idées avant de commencer une présentation par exemple.</t>
  </si>
  <si>
    <t>Utilisez cet agent comme dernière étape de révision après la modification de votre document.</t>
  </si>
  <si>
    <t>Auto Rewrite</t>
  </si>
  <si>
    <t>Nouvelle fonctionnalité dans Word. Sert à reformuler un texte existant en modifiant le ton, le style ou la clarté. C'est donc l'outil adapté pour transformer un paragraphe en un texte plus formel.</t>
  </si>
  <si>
    <t>Draft with Selection</t>
  </si>
  <si>
    <t>Nouvelle fonctionnalité dans Word. Sert à générer ou développer du contenu à partir d'une sélection, par exemple convertir une liste à puces en un paragraphe rédigé et structuré.</t>
  </si>
  <si>
    <t>Microsoft</t>
  </si>
  <si>
    <t>Copilot Chat</t>
  </si>
  <si>
    <t>OpenAI</t>
  </si>
  <si>
    <t>Anthropic</t>
  </si>
  <si>
    <t>Microsoft 365 Copilot</t>
  </si>
  <si>
    <t>Copilot Studio</t>
  </si>
  <si>
    <t>Catégorie</t>
  </si>
  <si>
    <t>SharePoint</t>
  </si>
  <si>
    <t>Teams</t>
  </si>
  <si>
    <t>—</t>
  </si>
  <si>
    <t>Claude for Work</t>
  </si>
  <si>
    <t>Hugging Face</t>
  </si>
  <si>
    <t>N8N</t>
  </si>
  <si>
    <t>Outil</t>
  </si>
  <si>
    <t>Recherche</t>
  </si>
  <si>
    <t>Analyste</t>
  </si>
  <si>
    <t>Prompt Coach</t>
  </si>
  <si>
    <t>AI Learning Advisor</t>
  </si>
  <si>
    <t>PowerPoint</t>
  </si>
  <si>
    <t>Planner Agent</t>
  </si>
  <si>
    <t>Sondage</t>
  </si>
  <si>
    <t>Word</t>
  </si>
  <si>
    <t>Excel</t>
  </si>
  <si>
    <t>Learning</t>
  </si>
  <si>
    <t>Sharepoint list agent</t>
  </si>
  <si>
    <t>SME Finder</t>
  </si>
  <si>
    <t>Sales</t>
  </si>
  <si>
    <t>Agent de pages Sharepoint</t>
  </si>
  <si>
    <t>Career Coach</t>
  </si>
  <si>
    <t>Service</t>
  </si>
  <si>
    <t>Insights Agent</t>
  </si>
  <si>
    <t>SharePoint Admin Agent</t>
  </si>
  <si>
    <t>Cas d'usage / Prompts</t>
  </si>
  <si>
    <t>Aide les utilisateurs à développer et à affiner leurs idées et à améliorer leurs sessions de brainstorming. Le modèle d’agent Idea Coach utilise un ton amusant et collaboratif pour inspirer la créativité et garantir des interactions de brainstorming attrayantes et productives.</t>
  </si>
  <si>
    <t>Générer des idées et des rubriques
Planifier des sessions de brainstorming
Trouver des exercices créatifs de brainstorming
Organiser les idées
Améliorer leurs compétences en matière de brainstorming</t>
  </si>
  <si>
    <t>Passez en revue ce paragraphe pour plus de clarté et de cohérence : []
Suggérer des façons de rendre ce résumé plus approprié pour un public non technique : []
Identifiez les problèmes de tonalité dans la section suivante et proposez des corrections : []
Comment puis-je améliorer la structure de cette conclusion ? []</t>
  </si>
  <si>
    <t>Fournit des commentaires sur la qualité de l’écriture, en mettant l’accent sur la clarté, la cohérence, la grammaire, le ton et le ciblage de l’audience.</t>
  </si>
  <si>
    <t>Microsoft Search</t>
  </si>
  <si>
    <t>Agent spécialisé dans la recherche d'informations dans les données Microsoft 365 de l'organisation (fichiers, emails, conversations Teams, sites SharePoint).</t>
  </si>
  <si>
    <t>Trouve les documents liés au projet X
Recherche les emails de [personne] sur [sujet]
Quels fichiers ont été modifiés cette semaine sur [thème] ?</t>
  </si>
  <si>
    <t>Pour retrouver rapidement des informations dispersées dans votre environnement M365.</t>
  </si>
  <si>
    <t>Excel / Power BI</t>
  </si>
  <si>
    <t>Agent d'analyse de données qui aide à interpréter des données, créer des visualisations et identifier des tendances dans les fichiers Excel et rapports Power BI.</t>
  </si>
  <si>
    <t>Analyse les tendances de ventes du Q1
Crée un graphique comparant [données A] et [données B]
Quelles sont les anomalies dans ce jeu de données ?</t>
  </si>
  <si>
    <t>Pour analyser des données complexes et obtenir des insights sans être expert en analyse.</t>
  </si>
  <si>
    <t>Agent qui aide les utilisateurs à formuler de meilleurs prompts pour obtenir des réponses plus pertinentes et précises de Copilot.</t>
  </si>
  <si>
    <t>Comment reformuler cette demande pour de meilleurs résultats ?
Aide-moi à structurer mon prompt pour [objectif]
Qu'est-ce qui manque dans mon instruction ?</t>
  </si>
  <si>
    <t>Quand vos prompts ne donnent pas les résultats attendus ou pour apprendre à mieux communiquer avec l'IA.</t>
  </si>
  <si>
    <t>Viva Learning</t>
  </si>
  <si>
    <t>Agent de conseil en formation qui recommande des parcours d'apprentissage personnalisés basés sur vos objectifs de carrière et compétences actuelles.</t>
  </si>
  <si>
    <t>Quelles formations pour devenir expert en [domaine] ?
Crée un plan de développement pour [compétence]
Quelles certifications recommandes-tu pour mon profil ?</t>
  </si>
  <si>
    <t>Pour planifier votre montée en compétences et identifier les formations pertinentes.</t>
  </si>
  <si>
    <t>Agent intégré à PowerPoint qui aide à créer, structurer et améliorer des présentations à partir de documents, notes ou instructions.</t>
  </si>
  <si>
    <t>Crée une présentation de 10 slides sur [sujet]
Résume ce document en une présentation exécutive
Ajoute des notes de présentateur pour chaque diapositive</t>
  </si>
  <si>
    <t>Pour créer rapidement des présentations professionnelles ou transformer des documents en slides.</t>
  </si>
  <si>
    <t>Microsoft Planner</t>
  </si>
  <si>
    <t>Agent de gestion de projet qui aide à créer des plans, assigner des tâches, suivre l'avancement et organiser le travail d'équipe.</t>
  </si>
  <si>
    <t>Crée un plan de projet pour [initiative]
Quelles tâches sont en retard cette semaine ?
Assigne les tâches du sprint aux membres de l'équipe</t>
  </si>
  <si>
    <t>Pour organiser et suivre les projets d'équipe sans quitter la conversation.</t>
  </si>
  <si>
    <t>Microsoft Forms</t>
  </si>
  <si>
    <t>Agent qui aide à créer des sondages, questionnaires et formulaires de feedback, puis à analyser les résultats.</t>
  </si>
  <si>
    <t>Crée un sondage de satisfaction client
Génère un questionnaire d'évaluation de formation
Analyse les réponses de mon dernier sondage</t>
  </si>
  <si>
    <t>Pour collecter des feedbacks et opinions de manière structurée.</t>
  </si>
  <si>
    <t>Agent intégré à Word qui aide à rédiger, reformuler, résumer et structurer des documents professionnels.</t>
  </si>
  <si>
    <t>Rédige une proposition commerciale pour [client]
Résume ce document en 3 paragraphes
Reformule ce texte pour un ton plus formel</t>
  </si>
  <si>
    <t>Pour accélérer la rédaction et améliorer la qualité de vos documents.</t>
  </si>
  <si>
    <t>Agent intégré à Excel qui aide à analyser des données, créer des formules, générer des graphiques et automatiser des tâches.</t>
  </si>
  <si>
    <t>Crée une formule pour calculer [objectif]
Analyse les tendances de ce tableau
Génère un tableau croisé dynamique par [dimension]</t>
  </si>
  <si>
    <t>Pour manipuler des données et créer des analyses sans être expert Excel.</t>
  </si>
  <si>
    <t>Agent qui recommande des contenus de formation pertinents et aide à organiser le temps d'apprentissage.</t>
  </si>
  <si>
    <t>Recommande des cours sur [sujet]
Planifie 2h d'apprentissage cette semaine
Quels sont les nouveaux contenus dans mon domaine ?</t>
  </si>
  <si>
    <t>Pour maintenir une culture d'apprentissage continu.</t>
  </si>
  <si>
    <t>Agent avancé (Frontier) qui aide à créer et gérer des workflows automatisés connectant plusieurs applications M365.</t>
  </si>
  <si>
    <t>Crée un workflow quand je reçois un email de [source]
Automatise l'approbation des demandes de congés
Notifie l'équipe quand un fichier est modifié</t>
  </si>
  <si>
    <t>Pour automatiser des processus métier récurrents. (Agent Frontier = fonctionnalités avancées)</t>
  </si>
  <si>
    <t>Agent spécialisé dans la gestion des listes SharePoint : création, mise à jour, requêtes et automatisation.</t>
  </si>
  <si>
    <t>Crée une liste de suivi des projets
Filtre les éléments où [condition]
Ajoute une colonne calculée pour [objectif]</t>
  </si>
  <si>
    <t>Pour gérer des données structurées dans SharePoint sans connaître les formules.</t>
  </si>
  <si>
    <t>Viva / Graph</t>
  </si>
  <si>
    <t>Agent qui identifie les experts (Subject Matter Experts) dans l'organisation sur un sujet donné, basé sur leurs contributions et interactions.</t>
  </si>
  <si>
    <t>Qui est expert en [domaine] dans l'entreprise ?
Trouve quelqu'un qui peut m'aider sur [problème technique]
Quels collègues ont travaillé sur des projets similaires ?</t>
  </si>
  <si>
    <t>Pour trouver rapidement la bonne personne à contacter sur un sujet spécifique.</t>
  </si>
  <si>
    <t>Dynamics 365 / Viva Sales</t>
  </si>
  <si>
    <t>Agent commercial qui aide à préparer des réunions clients, résumer des opportunités et suggérer des actions de suivi.</t>
  </si>
  <si>
    <t>Prépare un briefing pour ma réunion avec [client]
Résume l'historique des interactions avec [compte]
Quelles opportunités nécessitent un suivi cette semaine ?</t>
  </si>
  <si>
    <t>Pour les commerciaux qui veulent être mieux préparés et plus efficaces.</t>
  </si>
  <si>
    <t>Agent qui aide à créer, structurer et optimiser des pages SharePoint pour la communication interne.</t>
  </si>
  <si>
    <t>Crée une page d'actualités pour [annonce]
Optimise cette page pour une meilleure lisibilité
Génère une page de documentation pour [projet]</t>
  </si>
  <si>
    <t>Pour créer du contenu SharePoint engageant sans compétences en design.</t>
  </si>
  <si>
    <t>Viva</t>
  </si>
  <si>
    <t>Agent de coaching de carrière qui aide à définir des objectifs professionnels, préparer des entretiens et planifier des évolutions.</t>
  </si>
  <si>
    <t>Aide-moi à préparer mon entretien annuel
Quelles compétences développer pour évoluer vers [poste] ?
Comment présenter mon parcours pour [opportunité] ?</t>
  </si>
  <si>
    <t>Pour réfléchir à votre développement de carrière avec un coach virtuel.</t>
  </si>
  <si>
    <t>Viva Insights</t>
  </si>
  <si>
    <t>Agent avancé (Frontier) d'analyse RH qui fournit des insights sur le bien-être, la collaboration et la productivité des équipes.</t>
  </si>
  <si>
    <t>Comment se porte le moral de mon équipe ?
Quels sont les patterns de collaboration ?
Identifie les risques de surcharge de travail</t>
  </si>
  <si>
    <t>Pour les managers qui veulent suivre le bien-être et l'efficacité de leur équipe. (Frontier)</t>
  </si>
  <si>
    <t>Dynamics 365 Service</t>
  </si>
  <si>
    <t>Agent de support client qui aide à résoudre des tickets, accéder à la base de connaissances et suggérer des solutions.</t>
  </si>
  <si>
    <t>Trouve une solution pour [problème client]
Résume l'historique de ce ticket
Quels articles de la KB sont pertinents pour ce cas ?</t>
  </si>
  <si>
    <t>Pour les équipes support qui veulent résoudre les demandes plus rapidement.</t>
  </si>
  <si>
    <t>Dynamics 365 Finance</t>
  </si>
  <si>
    <t>Agent avancé (Frontier) financier qui aide à analyser les données comptables, préparer des rapports et identifier des anomalies.</t>
  </si>
  <si>
    <t>Résume la situation financière du mois
Quelles sont les variances budgétaires significatives ?
Prépare un rapport de clôture mensuelle</t>
  </si>
  <si>
    <t>Pour les équipes finance qui veulent automatiser l'analyse et le reporting. (Frontier)</t>
  </si>
  <si>
    <t>Agent qui analyse vos habitudes de travail et suggère des améliorations pour votre productivité et bien-être.</t>
  </si>
  <si>
    <t>Comment puis-je mieux organiser mes réunions ?
Quand suis-je le plus productif ?
Comment réduire mes interruptions ?</t>
  </si>
  <si>
    <t>Pour optimiser votre temps et améliorer votre équilibre travail-vie personnelle.</t>
  </si>
  <si>
    <t>SharePoint Admin Center</t>
  </si>
  <si>
    <t>Agent pour les administrateurs SharePoint qui aide à gérer les sites, permissions, quotas et politiques de gouvernance.</t>
  </si>
  <si>
    <t>Quels sites sont inactifs depuis 6 mois ?
Vérifie les permissions sur [site]
Génère un rapport d'utilisation du stockage</t>
  </si>
  <si>
    <t>Pour les administrateurs SharePoint qui veulent simplifier la gouvernance.</t>
  </si>
  <si>
    <t>Dynamics 365 Sales</t>
  </si>
  <si>
    <t>Agent avancé (Frontier) de développement commercial qui aide à qualifier les leads, personnaliser les approches et optimiser le pipeline.</t>
  </si>
  <si>
    <t>Qualifie ce lead selon nos critères
Suggère une approche personnalisée pour [prospect]
Quels leads prioriser cette semaine ?</t>
  </si>
  <si>
    <t>Pour les équipes SDR/BDR qui veulent améliorer leur taux de conversion. (Frontier)</t>
  </si>
  <si>
    <t>PowerPoint / Copilot Chat</t>
  </si>
  <si>
    <t>Word / Copilot Chat</t>
  </si>
  <si>
    <t>Semantic Kernel</t>
  </si>
  <si>
    <t>Framework open source de Microsoft pour intégrer des LLM dans des applications. Il permet d'orchestrer des plugins, des prompts et des connecteurs pour créer des agents IA. C'est le moteur sous-jacent de nombreuses fonctionnalités Copilot.</t>
  </si>
  <si>
    <t>Fine-tuning</t>
  </si>
  <si>
    <t>Processus d'entraînement supplémentaire d'un modèle pré-entraîné sur des données spécifiques pour l'adapter à une tâche ou un domaine particulier. Permet de personnaliser les réponses du modèle.</t>
  </si>
  <si>
    <t>Few-shot Learning</t>
  </si>
  <si>
    <t>Technique de prompting où l'on fournit quelques exemples (2-5) dans le prompt pour guider le modèle sur le format ou le style de réponse attendu. Exemple : donner 3 exemples de classification avant de demander une nouvelle classification.</t>
  </si>
  <si>
    <t>Zero-shot Learning</t>
  </si>
  <si>
    <t>Capacité d'un modèle à accomplir une tâche sans aucun exemple préalable, uniquement à partir des instructions. Le modèle généralise à partir de son entraînement initial.</t>
  </si>
  <si>
    <t>Chain of Thought (CoT)</t>
  </si>
  <si>
    <t>Technique de prompting qui encourage le modèle à expliciter son raisonnement étape par étape avant de donner une réponse finale. Améliore la précision sur les problèmes complexes. Exemple : "Réfléchis étape par étape..."</t>
  </si>
  <si>
    <t>ReAct</t>
  </si>
  <si>
    <t>Pattern d'agent IA combinant Reasoning (raisonnement) et Acting (action). L'agent alterne entre réflexion sur la situation et exécution d'actions, puis observe les résultats pour ajuster son approche.</t>
  </si>
  <si>
    <t>Context Window</t>
  </si>
  <si>
    <t>Nombre maximum de tokens qu'un LLM peut traiter en une seule requête (prompt + réponse). Exemples : GPT-4 = 128K tokens, Claude = 200K tokens. Limite la quantité d'informations que le modèle peut "voir" simultanément.</t>
  </si>
  <si>
    <t>System Prompt</t>
  </si>
  <si>
    <t>Instructions initiales données au modèle pour définir son comportement, son rôle, ses contraintes et son style de réponse. Aussi appelé "system message" ou "instructions système". Non visible par l'utilisateur final.</t>
  </si>
  <si>
    <t>RLHF</t>
  </si>
  <si>
    <t>Reinforcement Learning from Human Feedback. Technique d'entraînement où des évaluateurs humains notent les réponses du modèle pour l'aligner sur les préférences humaines (utilité, sécurité, honnêteté).</t>
  </si>
  <si>
    <t>Inference</t>
  </si>
  <si>
    <t>Processus d'exécution d'un modèle entraîné pour générer des prédictions ou des réponses à partir de nouvelles entrées. C'est le moment où le modèle "travaille" pour répondre à une requête.</t>
  </si>
  <si>
    <t>Attention (mécanisme)</t>
  </si>
  <si>
    <t>Mécanisme fondamental des Transformers permettant au modèle de pondérer l'importance relative de chaque mot/token par rapport aux autres dans une séquence. Permet de capturer les relations contextuelles.</t>
  </si>
  <si>
    <t>Transformer</t>
  </si>
  <si>
    <t>Architecture de réseau de neurones introduite en 2017 ("Attention is All You Need"). Base de tous les LLM modernes (GPT, Claude, Gemini, Llama). Utilise le mécanisme d'attention pour traiter les séquences en parallèle.</t>
  </si>
  <si>
    <t>Plateforme low-code de Microsoft pour créer, personnaliser et déployer des agents Copilot. Permet de connecter des sources de données, définir des actions et orchestrer des workflows sans coder.</t>
  </si>
  <si>
    <t>Interface de chat IA gratuite de Microsoft accessible via copilot.microsoft.com ou Bing. Permet de dialoguer avec l'IA sans licence M365 Copilot. Fonctionnalités limitées par rapport à M365 Copilot.</t>
  </si>
  <si>
    <t>Assistant IA intégré aux applications Microsoft 365 (Word, Excel, PowerPoint, Outlook, Teams). Nécessite une licence spécifique. Accède aux données de l'organisation via Microsoft Graph.</t>
  </si>
  <si>
    <t>Frontier (agents)</t>
  </si>
  <si>
    <t>Catégorie d'agents Copilot en preview ou accès anticipé. Fonctionnalités avancées nécessitant souvent des licences spécifiques (Dynamics 365, Copilot Studio). Peuvent évoluer avant la disponibilité générale.</t>
  </si>
  <si>
    <t>Recall</t>
  </si>
  <si>
    <t>Fonctionnalité Windows/Copilot qui capture des "snapshots" de l'activité de l'écran pour permettre une recherche sémantique dans l'historique. Permet de retrouver ce que vous avez vu/fait sur votre PC.</t>
  </si>
  <si>
    <t>Declarative Agent</t>
  </si>
  <si>
    <t>Type d'agent Copilot Studio défini par configuration (déclaratif) plutôt que par code. On déclare ce que l'agent doit faire (sources, instructions, actions) sans programmer la logique.</t>
  </si>
  <si>
    <t>Connectors</t>
  </si>
  <si>
    <t>Composants qui permettent à Copilot/Power Platform de se connecter à des sources de données externes (SharePoint, Salesforce, APIs...). Plus de 1000 connecteurs disponibles dans l'écosystème Microsoft.</t>
  </si>
  <si>
    <t>Plugins (Copilot)</t>
  </si>
  <si>
    <t>Extensions qui ajoutent des capacités à Copilot. Peuvent être des actions (envoyer un email, créer une tâche) ou des sources de connaissances. Développés via Copilot Studio ou code.</t>
  </si>
  <si>
    <t>Microsoft Graph</t>
  </si>
  <si>
    <t>API unifiée de Microsoft donnant accès aux données M365 : emails, calendriers, fichiers, contacts, Teams... C'est la source principale de contexte pour M365 Copilot.</t>
  </si>
  <si>
    <t>Purview</t>
  </si>
  <si>
    <t>Suite Microsoft de gouvernance des données et de conformité. Inclut la classification des données, la protection des informations, la gestion des risques et l'audit. Essentiel pour sécuriser l'usage de Copilot.</t>
  </si>
  <si>
    <t>Entra ID</t>
  </si>
  <si>
    <t>Nouveau nom d'Azure Active Directory. Service d'identité et d'accès de Microsoft. Gère l'authentification, les permissions et la sécurité des accès aux ressources cloud et Copilot.</t>
  </si>
  <si>
    <t>Operator (OpenAI)</t>
  </si>
  <si>
    <t>Agent IA d'OpenAI capable de naviguer sur le web, cliquer, remplir des formulaires et exécuter des tâches dans un navigateur. Représente l'évolution vers des agents autonomes capables d'agir dans le monde numérique.</t>
  </si>
  <si>
    <t>Offre entreprise d'Anthropic intégrant Claude dans les outils de travail. Équivalent de M365 Copilot côté Anthropic. Permet à l'IA d'accéder aux documents et données de l'organisation.</t>
  </si>
  <si>
    <t>Plateforme d'automatisation open source avec capacités IA. Alternative à Power Automate/Zapier. Permet de créer des workflows connectant applications et modèles IA. Populaire pour sa flexibilité et son auto-hébergement.</t>
  </si>
  <si>
    <t>Knowledge Graph</t>
  </si>
  <si>
    <t>Graphe de connaissances représentant les entités (personnes, concepts, objets) et leurs relations. Utilisé pour enrichir le contexte des agents IA et améliorer le RAG. Microsoft Graph en est un exemple.</t>
  </si>
  <si>
    <t>Ontologie</t>
  </si>
  <si>
    <t>Modèle formel définissant les concepts d'un domaine et leurs relations. Fournit un schéma structuré pour organiser les connaissances. Utilisée avec les Knowledge Graphs pour le raisonnement IA.</t>
  </si>
  <si>
    <t>SPARQL</t>
  </si>
  <si>
    <t>Langage de requête pour interroger des bases de données RDF et des graphes de connaissances. Équivalent de SQL pour les données liées. Utilisé avec les ontologies et Knowledge Graphs.</t>
  </si>
  <si>
    <t>Cypher</t>
  </si>
  <si>
    <t>Langage de requête pour les bases de données graphes (Neo4j). Permet d'interroger et manipuler des graphes de connaissances de manière intuitive avec une syntaxe visuelle.</t>
  </si>
  <si>
    <t>Guardrails</t>
  </si>
  <si>
    <t>Mécanismes de sécurité intégrés aux systèmes IA pour prévenir les comportements indésirables : filtrage de contenu, détection de jailbreak, limites d'actions. Amazon Bedrock Guardrails, Llama Guard en sont des exemples.</t>
  </si>
  <si>
    <t>Alignment</t>
  </si>
  <si>
    <t>Processus visant à aligner le comportement d'un modèle IA sur les valeurs et intentions humaines. Inclut RLHF, constitutional AI, et autres techniques pour rendre l'IA utile, honnête et inoffensive.</t>
  </si>
  <si>
    <t>Latent Space</t>
  </si>
  <si>
    <t>Espace vectoriel de haute dimension où les modèles IA représentent les concepts. Les embeddings vivent dans cet espace. Les concepts similaires sont proches dans l'espace latent.</t>
  </si>
  <si>
    <t>Diffusion Model</t>
  </si>
  <si>
    <t>Architecture utilisée pour la génération d'images (DALL-E, Stable Diffusion, Imagen). Apprend à reconstruire des images à partir de bruit, puis inverse le processus pour générer de nouvelles images.</t>
  </si>
  <si>
    <t>Réponse d'une IA plausible mais fausse.</t>
  </si>
  <si>
    <t>FlowGPT</t>
  </si>
  <si>
    <t>Awesome ChatGPT Prompts</t>
  </si>
  <si>
    <t>https://flowgpt.com</t>
  </si>
  <si>
    <t>https://github.com/f/awesome-chatgpt-prompts</t>
  </si>
  <si>
    <t>Anthropic Prompt Library</t>
  </si>
  <si>
    <t>https://docs.anthropic.com/en/prompt-library/library</t>
  </si>
  <si>
    <t>Pour réaliser un bon prompt, vous avez besoin, d'un contexte, d'un objectif, d'identifier la source et de définir les attentes.
Fournir un contexte : pourquoi en avez-vous besoin et qui est impliqué ? Décrivez la situation, que vous soyez en train de préparer une réunion cliente, d’analyser un rapport trimestriel ou de créer une présentation de la direction. Contrairement à la recherche traditionnelle, Copilot répond le mieux aux invites détaillées et descriptives.
Décrire un objectif : Que voulez-vous que Copilot fasse ? Spécifiez la sortie : un résumé, un premier brouillon, une liste d’éléments d’action, une visualisation de données. Si vous avez un format à l’esprit, décrivez-le.
Définir une source : Où doit se trouver Copilot ? Référencez des fichiers, des e-mails, des réunions ou des notes de réunion spécifiques afin que Copilot extrait le contenu approprié. Avec votre licence Microsoft 365 Copilot, vous pouvez référencer vos données professionnelles (e-mails, réunions et fichiers) directement dans vos invites.
Définir les attentes : Comment Copilot doit-il répondre ? Spécifiez l’audience, le ton, la longueur ou la structure. Une réponse pour la haute direction se lit différemment d’une réponse pour une mise à jour de l’équipe de projet.</t>
  </si>
  <si>
    <t>Sécurité</t>
  </si>
  <si>
    <t>Architecture</t>
  </si>
  <si>
    <t>Prompting</t>
  </si>
  <si>
    <t>Données</t>
  </si>
  <si>
    <t>Modèle</t>
  </si>
  <si>
    <t>Généralité</t>
  </si>
  <si>
    <t>Large Language Model (Grand modèle de langage). Modèle d'IA entraîné sur de vastes corpus de textes pour comprendre et générer du langage naturel.
Exemples :
• OpenAI : GPT-4, GPT-4o, o1, o3
• Anthropic : Claude 3.5 Sonnet, Claude 3 Opus
• Google : Gemini Pro, Gemini Ultra
• Meta : Llama 3, Llama 3.1
• Mistral AI : Mistral Large, Mixtral
• Microsoft : Phi-3, Phi-4</t>
  </si>
  <si>
    <t>Modèles de langage plus petits et optimisés pour des tâches spécifiques ou des environnements contraints.
Exemples :
• Microsoft Phi-3/Phi-4
• Google Gemma
• Meta Llama 3.2 (versions légères)
Avantages : rapidité, coût réduit, déploiement local possible.</t>
  </si>
  <si>
    <t>Modèle capable de traiter plusieurs types de données : texte, image, audio, vidéo.
Exemples :
• GPT-4o (texte + image + audio)
• Gemini (texte + image + vidéo)
• Claude 3 (texte + image)
Permet des interactions plus riches et naturelles.</t>
  </si>
  <si>
    <t>Modèles optimisés pour le raisonnement complexe et la résolution de problèmes.
Exemples :
• OpenAI o1, o3
• Google Gemini 2.0 Flash Thinking
Utilisent des techniques de "thinking" avant de répondre.</t>
  </si>
  <si>
    <t>Pattern</t>
  </si>
  <si>
    <t>Type de modèle IA</t>
  </si>
  <si>
    <t>Agentique</t>
  </si>
  <si>
    <t>Large Language Model (LLM) – 3e/4e génération</t>
  </si>
  <si>
    <t>SLM (Small Language Model) – 4e génération</t>
  </si>
  <si>
    <t>Modèle multimodal – 4e génération</t>
  </si>
  <si>
    <t>Modèle de raisonnement – 5e génération</t>
  </si>
  <si>
    <t>Générations d'IA</t>
  </si>
  <si>
    <t>Évolution historique des modèles d'intelligence artificielle :
🔹 1re génération – IA symbolique (années 1950-1980)
Systèmes basés sur des règles logiques et la manipulation de symboles.
Exemples : ELIZA, systèmes experts (MYCIN, DENDRAL)
🔹 2e génération – Machine Learning (années 1990-2010)
Apprentissage à partir de données avec algorithmes statistiques.
Exemples : SVM, Random Forest, réseaux de neurones classiques, IBM Watson (Jeopardy)
🔹 3e génération – Deep Learning (années 2012-2020)
Réseaux de neurones profonds, architectures Transformer (2017).
Exemples : BERT, GPT-2, GPT-3, AlphaGo, reconnaissance d'images (ResNet)
🔹 4e génération – IA Générative (2022-2024)
Modèles de langage massifs, multimodaux, assistants conversationnels.
Exemples : GPT-4, Claude 3, Gemini, DALL-E 3, Midjourney, Copilot, Phi-3/4 (SLM)
🔹 5e génération – IA Agentique &amp; Raisonnement (2024-2025)
Modèles capables de raisonner, planifier et agir de manière autonome.
Exemples : OpenAI o1/o3, Gemini 2.0 Flash Thinking, agents Copilot Studio, Operator (OpenAI)
🔹 6e génération – AGI / IA Générale (à venir)
Intelligence artificielle capable d'égaler ou surpasser l'intelligence humaine sur toutes les tâches cognitives. Autonomie complète, apprentissage continu, transfert de connaissances entre domaines.
Exemples attendus : GPT-5 (?), Project Stargate, initiatives DeepMind, recherches Anthropic sur l'alignement</t>
  </si>
  <si>
    <t>Copilot Pages</t>
  </si>
  <si>
    <t>Canvas collaboratif alimenté par l'IA dans Microsoft 365. Permet de créer des pages partagées où les utilisateurs peuvent travailler ensemble avec l'assistance de Copilot pour synthétiser, organiser et enrichir le contenu.</t>
  </si>
  <si>
    <t>Copilot Actions</t>
  </si>
  <si>
    <t>Automatisations créées et déclenchées par Copilot pour exécuter des tâches répétitives. Permettent de transformer des instructions en langage naturel en workflows automatisés.</t>
  </si>
  <si>
    <t>SharePoint Premium</t>
  </si>
  <si>
    <t>Ensemble de fonctionnalités IA avancées pour SharePoint (anciennement Syntex). Inclut le traitement intelligent des documents, la classification automatique et l'extraction de métadonnées par IA.</t>
  </si>
  <si>
    <t>Loop</t>
  </si>
  <si>
    <t>Application Microsoft de collaboration en temps réel. Les composants Loop sont des blocs de contenu portables et synchronisés entre les apps M365, avec Copilot intégré pour la co-création.</t>
  </si>
  <si>
    <t>Copilot Lab</t>
  </si>
  <si>
    <t>Espace d'apprentissage et d'expérimentation pour maîtriser Copilot. Propose des prompts recommandés, des conseils et permet de sauvegarder ses prompts favoris.</t>
  </si>
  <si>
    <t>Microsoft Places</t>
  </si>
  <si>
    <t>Application M365 pour optimiser le travail hybride. Utilise l'IA pour coordonner la présence au bureau, les réservations d'espaces et la collaboration en présentiel.</t>
  </si>
  <si>
    <t>AutoGPT</t>
  </si>
  <si>
    <t>Agent IA autonome open source capable de décomposer un objectif en sous-tâches, les exécuter et itérer jusqu'à l'accomplissement. Pionnier du mouvement agentique (2023).</t>
  </si>
  <si>
    <t>CrewAI</t>
  </si>
  <si>
    <t>Framework Python pour créer des équipes d'agents IA collaboratifs. Chaque agent a un rôle, des compétences et peut déléguer des tâches à d'autres agents.</t>
  </si>
  <si>
    <t>Function Calling</t>
  </si>
  <si>
    <t>Capacité d'un LLM à générer des appels de fonction structurés (JSON) plutôt que du texte. Permet au modèle d'interagir avec des APIs et outils externes de manière fiable.</t>
  </si>
  <si>
    <t>Planning (IA)</t>
  </si>
  <si>
    <t>Capacité d'un agent IA à décomposer un objectif complexe en étapes, établir un plan d'action et l'adapter en fonction des résultats. Composant clé de l'IA agentique.</t>
  </si>
  <si>
    <t>Memory (agents)</t>
  </si>
  <si>
    <t>Système permettant aux agents de conserver des informations entre les interactions.
• Mémoire court terme : contexte de la conversation
• Mémoire long terme : faits persistants
• Mémoire épisodique : expériences passées</t>
  </si>
  <si>
    <t>API</t>
  </si>
  <si>
    <t>Application Programming Interface. Interface permettant à des applications de communiquer entre elles. Les LLM sont généralement accessibles via des APIs REST (OpenAI API, Azure OpenAI, etc.).</t>
  </si>
  <si>
    <t>Tokenization</t>
  </si>
  <si>
    <t>Processus de découpage d'un texte en tokens (unités de base) pour le traitement par un LLM. Différents tokenizers existent (BPE, WordPiece, SentencePiece). Un mot peut correspondre à 1 ou plusieurs tokens.</t>
  </si>
  <si>
    <t>Perplexity (métrique)</t>
  </si>
  <si>
    <t>Métrique mesurant la qualité d'un modèle de langage. Plus la perplexité est basse, meilleur est le modèle. Indique à quel point le modèle est "surpris" par le texte qu'il prédit.</t>
  </si>
  <si>
    <t>Benchmark (IA)</t>
  </si>
  <si>
    <t>Ensemble de tests standardisés pour évaluer les performances des modèles IA.
Exemples :
• MMLU : connaissances générales
• HumanEval : code
• GSM8K : mathématiques
• HellaSwag : raisonnement</t>
  </si>
  <si>
    <t>Quantization</t>
  </si>
  <si>
    <t>Technique de compression des modèles IA en réduisant la précision des poids (ex: float32 → int8). Permet de déployer des modèles sur des appareils à ressources limitées avec une perte de qualité minimale.</t>
  </si>
  <si>
    <t>LoRA / QLoRA</t>
  </si>
  <si>
    <t>Low-Rank Adaptation. Technique de fine-tuning efficace qui n'entraîne qu'une petite partie des paramètres du modèle. QLoRA combine LoRA avec la quantization pour réduire encore les ressources nécessaires.</t>
  </si>
  <si>
    <t>Prompt Engineering</t>
  </si>
  <si>
    <t>Discipline consistant à concevoir et optimiser les prompts pour obtenir les meilleures réponses des LLM. Inclut la structuration, le contexte, les exemples et les contraintes.</t>
  </si>
  <si>
    <t>Self-Consistency</t>
  </si>
  <si>
    <t>Technique de prompting où l'on génère plusieurs réponses avec raisonnement, puis on sélectionne la réponse la plus fréquente. Améliore la fiabilité sur les problèmes de raisonnement.</t>
  </si>
  <si>
    <t>Tree of Thought (ToT)</t>
  </si>
  <si>
    <t>Évolution du Chain of Thought. Le modèle explore plusieurs branches de raisonnement en parallèle, évalue chaque chemin et sélectionne le plus prometteur. Utile pour les problèmes complexes.</t>
  </si>
  <si>
    <t>Role Prompting</t>
  </si>
  <si>
    <t>Technique consistant à assigner un rôle ou une persona au modèle ("Tu es un expert en..."). Influence le ton, le niveau de détail et l'expertise des réponses.</t>
  </si>
  <si>
    <t>Jailbreak</t>
  </si>
  <si>
    <t>Technique visant à contourner les guardrails et restrictions d'un modèle IA pour obtenir des réponses normalement interdites. Les fournisseurs renforcent continuellement leurs protections contre ces attaques.</t>
  </si>
  <si>
    <t>Responsible AI</t>
  </si>
  <si>
    <t>Cadre de principes Microsoft pour une IA éthique et responsable.
Piliers :
• Équité
• Fiabilité et sécurité
• Confidentialité
• Inclusivité
• Transparence
• Responsabilité</t>
  </si>
  <si>
    <t>Biais (IA)</t>
  </si>
  <si>
    <t>Tendance d'un modèle IA à produire des résultats systématiquement faussés en raison de biais dans les données d'entraînement ou la conception. Peut perpétuer des stéréotypes ou discriminations.</t>
  </si>
  <si>
    <t>Explainability / XAI</t>
  </si>
  <si>
    <t>IA Explicable. Capacité à comprendre et expliquer comment un modèle IA arrive à ses décisions. Essentiel pour la confiance, l'audit et la conformité réglementaire (EU AI Act).</t>
  </si>
  <si>
    <t>Data Loss Prevention (DLP)</t>
  </si>
  <si>
    <t>Ensemble de politiques et outils pour empêcher la fuite de données sensibles. Dans le contexte Copilot, le DLP contrôle quelles informations peuvent être partagées avec l'IA.</t>
  </si>
  <si>
    <t>Sensitivity Labels</t>
  </si>
  <si>
    <t>Étiquettes de confidentialité Microsoft 365 (Public, Interne, Confidentiel, Très confidentiel). Copilot respecte ces étiquettes et ne peut pas accéder aux contenus au-delà des permissions de l'utilisateur.</t>
  </si>
  <si>
    <t>Azure OpenAI Service</t>
  </si>
  <si>
    <t>Service cloud Azure donnant accès aux modèles OpenAI (GPT-4, DALL-E, Whisper) avec la sécurité et conformité entreprise Azure. C'est le backend de Microsoft 365 Copilot.</t>
  </si>
  <si>
    <t>Entreprise d'IA fondée par d'anciens membres d'OpenAI. Créateur de Claude. Focus sur la sécurité de l'IA (AI Safety) et l'alignement. Techniques notables : Constitutional AI, RLHF.</t>
  </si>
  <si>
    <t>Entreprise d'IA créatrice de GPT, DALL-E, Whisper et ChatGPT. Partenaire stratégique de Microsoft. Pionnière de l'IA générative grand public et des modèles de raisonnement (o1, o3).</t>
  </si>
  <si>
    <t>Plateforme communautaire pour le partage de modèles IA, datasets et applications. Hub central de l'écosystème open source ML. Propose aussi des outils (Transformers, Datasets, Spaces).</t>
  </si>
  <si>
    <t>Foundation Model</t>
  </si>
  <si>
    <t>Modèle IA de grande taille pré-entraîné sur des données massives, servant de base pour diverses applications. Exemples : GPT-4, Claude, Llama. Peut être adapté via fine-tuning ou prompting.</t>
  </si>
  <si>
    <t>Semantic Search</t>
  </si>
  <si>
    <t>Recherche basée sur le sens et l'intention plutôt que sur la correspondance exacte de mots-clés. Utilise les embeddings pour trouver des résultats conceptuellement similaires à la requête.</t>
  </si>
  <si>
    <t>Similarity Search</t>
  </si>
  <si>
    <t>Recherche de vecteurs (embeddings) similaires dans une base vectorielle. Utilise des métriques de distance (cosine, euclidienne) pour trouver les documents les plus proches sémantiquement.</t>
  </si>
  <si>
    <t>Indexing (IA)</t>
  </si>
  <si>
    <t>Processus de préparation des documents pour la recherche :
1. Chunking (découpage)
2. Embedding (vectorisation)
3. Stockage dans une base vectorielle
Étape essentielle du RAG.</t>
  </si>
  <si>
    <t>Data Lakehouse</t>
  </si>
  <si>
    <t>Architecture de données combinant les avantages du Data Lake (stockage brut, flexible) et du Data Warehouse (structure, performance). Exemples : Databricks, Microsoft Fabric.</t>
  </si>
  <si>
    <t>Certification</t>
  </si>
  <si>
    <t>Niveau</t>
  </si>
  <si>
    <t>Pour qui ?</t>
  </si>
  <si>
    <t>Business</t>
  </si>
  <si>
    <t>Business / Management</t>
  </si>
  <si>
    <t>Associate</t>
  </si>
  <si>
    <t>Fundamentals</t>
  </si>
  <si>
    <t>Expert</t>
  </si>
  <si>
    <t>Specialty</t>
  </si>
  <si>
    <t>Niveau affiché</t>
  </si>
  <si>
    <t>Priorité</t>
  </si>
  <si>
    <t>Débutant</t>
  </si>
  <si>
    <t>Utilisateurs avancés de Copilot, BA, knowledge workers</t>
  </si>
  <si>
    <t>Immédiate</t>
  </si>
  <si>
    <t>Fundamentals / Technique</t>
  </si>
  <si>
    <t>Débutants IA, profils métier ou techniques</t>
  </si>
  <si>
    <t>Haute</t>
  </si>
  <si>
    <t>Fundamentals / Low-code</t>
  </si>
  <si>
    <t>BA, Citizen Developers, makers</t>
  </si>
  <si>
    <t>Intermédiaire</t>
  </si>
  <si>
    <t>Associate / Builder</t>
  </si>
  <si>
    <t>Builders avancés, développeurs, consultants Power Platform</t>
  </si>
  <si>
    <t>Moyen terme</t>
  </si>
  <si>
    <t>Fundamentals / Data</t>
  </si>
  <si>
    <t>BA orientés data, débutants Azure Data</t>
  </si>
  <si>
    <t>Complément</t>
  </si>
  <si>
    <t>Business / Leadership</t>
  </si>
  <si>
    <t>Managers, sponsors IA, responsables transformation</t>
  </si>
  <si>
    <t>Selon le rôle</t>
  </si>
  <si>
    <t>Repère</t>
  </si>
  <si>
    <t>Nature</t>
  </si>
  <si>
    <t>Niveau de difficulté indiqué sur les pages Microsoft Learn ; il ne décrit pas la séniorité du poste.</t>
  </si>
  <si>
    <t>AB-730, AB-731, AI-900, PL-900, DP-900</t>
  </si>
  <si>
    <t>Niveau nécessitant une pratique plus approfondie et une capacité d’intégration ou de construction.</t>
  </si>
  <si>
    <t>AB-620</t>
  </si>
  <si>
    <t>Famille de certification</t>
  </si>
  <si>
    <t>Certification de socle, généralement identifiée par un code d’examen se terminant par -900.</t>
  </si>
  <si>
    <t>AI-900, PL-900, DP-900</t>
  </si>
  <si>
    <t>Certification basée sur un rôle, généralement de niveau intermédiaire et orientée mise en œuvre.</t>
  </si>
  <si>
    <t>AI Agent Builder Associate (AB-620)</t>
  </si>
  <si>
    <t>Certification avancée validant la maîtrise d’un rôle et de scénarios complexes.</t>
  </si>
  <si>
    <t>Aucune dans la sélection actuelle</t>
  </si>
  <si>
    <t>Certification spécialisée sur un domaine ou une charge de travail précise.</t>
  </si>
  <si>
    <t>Filière ou public</t>
  </si>
  <si>
    <t>Orientation métier ou leadership : ce n’est pas un niveau Microsoft. C’est pourquoi elle ne figurait pas dans l’ancien référentiel des niveaux.</t>
  </si>
  <si>
    <t>AB-730 (Business), AB-731 (Leadership)</t>
  </si>
  <si>
    <t>Applied Skills</t>
  </si>
  <si>
    <t>Autre type de titre</t>
  </si>
  <si>
    <t>Titre court basé sur une évaluation pratique en laboratoire ; distinct d’une certification complète.</t>
  </si>
  <si>
    <t>Objectif et compétences clés</t>
  </si>
  <si>
    <t>Ordre</t>
  </si>
  <si>
    <t>Intérêt / moment conseillé</t>
  </si>
  <si>
    <t>Améliorer les résultats métier avec l’IA générative et Microsoft 365 Copilot, sans coder.
Compétences : Fondamentaux GenAI ; prompts et conversations ; agents ; rédaction et analyse de contenu métier</t>
  </si>
  <si>
    <t>⭐⭐⭐⭐⭐ Cible la plus directe pour valoriser ton usage métier de Copilot.
Quand : Après une pratique régulière de Microsoft 365 Copilot</t>
  </si>
  <si>
    <t>Construire un socle commun sur les charges de travail IA et les services Azure AI.
Compétences : Machine learning ; vision ; NLP ; IA générative ; principes d’IA responsable</t>
  </si>
  <si>
    <t>⭐⭐⭐⭐⭐ Excellent socle conceptuel, reconnu et transversal.
Quand : Au début du parcours ou en parallèle d’AB-730</t>
  </si>
  <si>
    <t>Comprendre Power Platform pour automatiser, analyser et créer des solutions low-code.
Compétences : Power Apps ; Power Automate ; Dataverse ; Power BI ; valeur métier de Power Platform</t>
  </si>
  <si>
    <t>⭐⭐⭐⭐⭐ Complément naturel à Copilot Studio et aux agents.
Quand : Après le socle IA, avant un parcours builder</t>
  </si>
  <si>
    <t>Concevoir, intégrer, sécuriser, tester et exploiter des agents d’entreprise dans Copilot Studio.
Compétences : Agent flows ; Dataverse ; connecteurs/API ; RAG ; MCP/A2A ; multi-agent ; ALM et gouvernance</t>
  </si>
  <si>
    <t>⭐⭐⭐⭐ Très pertinent si tu veux construire et intégrer des agents.
Quand : Après PL-900 et une pratique concrète de Copilot Studio</t>
  </si>
  <si>
    <t>Acquérir le vocabulaire et les principes des données relationnelles, non relationnelles et analytiques.
Compétences : Données relationnelles ; NoSQL ; analytics ; services de données Azure</t>
  </si>
  <si>
    <t>⭐⭐⭐⭐ Bon bonus pour mieux comprendre les sources et architectures de données.
Quand : Quand les sujets data, RAG ou gouvernance deviennent plus présents</t>
  </si>
  <si>
    <t>Identifier la valeur de l’IA, choisir les solutions et piloter adoption, gouvernance et transformation.
Compétences : Business value ; portefeuille Microsoft AI ; ROI ; IA responsable ; stratégie d’adoption et conduite du changement</t>
  </si>
  <si>
    <t>⭐⭐⭐ Moins prioritaire aujourd’hui, mais très utile pour un rôle de management ou de sponsor.
Quand : À remonter dans le classement si tu pilotes une adoption ou une transformation IA</t>
  </si>
  <si>
    <t>Lien officiel</t>
  </si>
  <si>
    <t>https://learn.microsoft.com/fr-fr/credentials/certifications/ai-business-professional/</t>
  </si>
  <si>
    <t>https://learn.microsoft.com/fr-fr/credentials/certifications/azure-ai-fundamentals/</t>
  </si>
  <si>
    <t>https://learn.microsoft.com/fr-fr/credentials/certifications/power-platform-fundamentals/</t>
  </si>
  <si>
    <t>https://learn.microsoft.com/fr-fr/credentials/certifications/ai-agent-builder-associate/</t>
  </si>
  <si>
    <t>https://learn.microsoft.com/fr-fr/credentials/certifications/azure-data-fundamentals/</t>
  </si>
  <si>
    <t>https://learn.microsoft.com/fr-fr/credentials/certifications/ai-transformation-leader/</t>
  </si>
  <si>
    <t>76 € HT*
Examen payant ; préparation Microsoft Learn gratuite</t>
  </si>
  <si>
    <t>165 USD* — prix France à confirmer lors de l’inscription
Examen payant ; préparation Microsoft Learn gratuite</t>
  </si>
  <si>
    <t>Prix de l’examen</t>
  </si>
  <si>
    <t>PL-900
Power Platform Fundamentals</t>
  </si>
  <si>
    <t>AB-620
AI Agent Builder Associate</t>
  </si>
  <si>
    <t>DP-900
Azure Data Fundamentals</t>
  </si>
  <si>
    <t>AB-731
AI Transformation Leader</t>
  </si>
  <si>
    <t>Titre</t>
  </si>
  <si>
    <t>AB-730
AI Business Professional</t>
  </si>
  <si>
    <t>AI-900
Azure AI Fundamentals</t>
  </si>
  <si>
    <t>Applied Skill
Créer un agent dans Microsoft Copilot Studio</t>
  </si>
  <si>
    <t>Applied Skills / Copilot Studio</t>
  </si>
  <si>
    <t>Créateurs d’applications, utilisateurs métier, makers Copilot Studio</t>
  </si>
  <si>
    <t>Démontrer la capacité à créer et publier un agent dans Copilot Studio.
Compétences : configuration de l’agent ; IA générative et connaissances ; rubriques ; outils ; partage et publication.</t>
  </si>
  <si>
    <t>⭐⭐⭐⭐⭐ Validation pratique directement utile avant un parcours builder avancé.
Quand : après PL-900 et une première pratique de Copilot Studio. Préparation : 3 h 52 ; évaluation pratique : 2 h, en anglais.</t>
  </si>
  <si>
    <t>https://learn.microsoft.com/fr-fr/credentials/applied-skills/build-an-agent-in-microsoft-copilot-studio/</t>
  </si>
  <si>
    <t>Gratuite*
Parcours et évaluation Microsoft Learn</t>
  </si>
  <si>
    <t>Applied Skill
Améliorer les agents avec des fonctionnalités autonomes</t>
  </si>
  <si>
    <t>Applied Skills / Agentique</t>
  </si>
  <si>
    <t>Makers et développeurs connaissant Copilot Studio, Power Automate et Dataverse</t>
  </si>
  <si>
    <t>Ajouter des capacités autonomes à un agent Copilot Studio.
Compétences : connaissances ; agent flows comme outils ; déclencheurs d’événements ; gestion des erreurs ; interaction humaine.</t>
  </si>
  <si>
    <t>⭐⭐⭐⭐⭐ Étape pratique idéale entre la création d’un agent simple et AB-620.
Quand : après l’Applied Skill de création d’agent. Préparation : 2 h ; évaluation pratique : 45 min, en anglais.</t>
  </si>
  <si>
    <t>https://learn.microsoft.com/fr-fr/credentials/applied-skills/enhance-agents-with-autonomous-capabilities/</t>
  </si>
  <si>
    <t>Créer un agent dans Copilot Studio ; Améliorer les agents avec des fonctionnalités autonomes</t>
  </si>
  <si>
    <t>1️⃣ 🧭 Catégorie générique / repère</t>
  </si>
  <si>
    <t>2️⃣ 🎯 Besoin / intention du lecteur</t>
  </si>
  <si>
    <t>3️⃣ 🏷️ Microsoft</t>
  </si>
  <si>
    <t>3️⃣ 🏷️ Anthropic</t>
  </si>
  <si>
    <t>3️⃣ 🏷️ OpenAI</t>
  </si>
  <si>
    <t>3️⃣ 🏷️ Google</t>
  </si>
  <si>
    <t>3️⃣ 🏷️ Perplexity</t>
  </si>
  <si>
    <t>3️⃣ 🏷️ Salesforce</t>
  </si>
  <si>
    <t>3️⃣ 🏷️ ServiceNow</t>
  </si>
  <si>
    <t>3️⃣ 🏷️ SAP</t>
  </si>
  <si>
    <t>3️⃣ 🏷️ Oracle</t>
  </si>
  <si>
    <t>3️⃣ 🏷️ Atlassian</t>
  </si>
  <si>
    <t>3️⃣ 🏷️ Amazon</t>
  </si>
  <si>
    <t>3️⃣ 🏷️ IBM</t>
  </si>
  <si>
    <t>3️⃣ 🏷️ Meta</t>
  </si>
  <si>
    <t>3️⃣ 🏷️ Mistral AI</t>
  </si>
  <si>
    <t>3️⃣ 🏷️ Cohere</t>
  </si>
  <si>
    <t>3️⃣ 🏷️ Hugging Face</t>
  </si>
  <si>
    <t>3️⃣ 🏷️ N8N</t>
  </si>
  <si>
    <t>3️⃣ 🏷️ Make</t>
  </si>
  <si>
    <t>3️⃣ 🏷️ Zapier</t>
  </si>
  <si>
    <t>🧭 Chat IA</t>
  </si>
  <si>
    <t>🎯 Je dialogue avec l'IA</t>
  </si>
  <si>
    <t>🏷️ Copilot Chat</t>
  </si>
  <si>
    <t>🏷️ Claude</t>
  </si>
  <si>
    <t>🏷️ ChatGPT</t>
  </si>
  <si>
    <t>🏷️ Gemini</t>
  </si>
  <si>
    <t>🏷️ Perplexity Assistant</t>
  </si>
  <si>
    <t>🏷️ Amazon Q</t>
  </si>
  <si>
    <t>🏷️ Meta AI / Llama</t>
  </si>
  <si>
    <t>🏷️ Le Chat</t>
  </si>
  <si>
    <t>🏷️ Coral</t>
  </si>
  <si>
    <t>🏷️ HuggingChat</t>
  </si>
  <si>
    <t>🧭 Assistance au travail quotidien</t>
  </si>
  <si>
    <t>🏷️ Microsoft 365 Copilot (Chat + Copilot Cowork)</t>
  </si>
  <si>
    <t>🏷️ Claude for Work</t>
  </si>
  <si>
    <t>🏷️ Gemini for Workspace</t>
  </si>
  <si>
    <t>🏷️ Einstein Copilot</t>
  </si>
  <si>
    <t>🏷️ Now Assist</t>
  </si>
  <si>
    <t>🏷️ Joule</t>
  </si>
  <si>
    <t>🏷️ Oracle AI Digital Assistant</t>
  </si>
  <si>
    <t>🏷️ Atlassian Rovo</t>
  </si>
  <si>
    <t>🏷️ Le Chat Enterprise</t>
  </si>
  <si>
    <t>🏷️ Coral Enterprise</t>
  </si>
  <si>
    <t>🔎 REPÈRE TRANSVERSAL — éditeur / écosystème IA</t>
  </si>
  <si>
    <t>🎯 Je comprends le positionnement de l'entreprise et ses principales technologies IA</t>
  </si>
  <si>
    <t>🏷️ Écosystème cloud et productivité : Microsoft 365 Copilot, Copilot Studio, Microsoft Foundry / Azure AI</t>
  </si>
  <si>
    <t>🏷️ Entreprise de modèles axée sécurité : Claude, Claude API, Claude Code, MCP</t>
  </si>
  <si>
    <t>🏷️ Google / DeepMind : Gemini, Vertex AI, Google AI Studio, IA dans Workspace</t>
  </si>
  <si>
    <t>🏷️ Moteur de réponses et recherche IA : Perplexity, Enterprise Pro, Sonar API</t>
  </si>
  <si>
    <t>🏷️ CRM et agents d'entreprise : Agentforce, Einstein, Data Cloud</t>
  </si>
  <si>
    <t>🏷️ Plateforme de workflows d'entreprise : Now Platform, Now Assist, AI Agent Studio</t>
  </si>
  <si>
    <t>🏷️ IA pour ERP et processus métier : SAP Business AI, Joule, SAP AI Core</t>
  </si>
  <si>
    <t>🏷️ Cloud, bases de données et applications métier : OCI Generative AI, Oracle Database AI, Digital Assistant</t>
  </si>
  <si>
    <t>🏷️ Collaboration et gestion du travail : Rovo, Atlassian Intelligence, Jira, Confluence</t>
  </si>
  <si>
    <t>🏷️ Cloud et IA générative : Amazon Bedrock, SageMaker, Amazon Q</t>
  </si>
  <si>
    <t>🏷️ IA d'entreprise hybride : watsonx.ai, watsonx.data, watsonx.governance, watsonx Orchestrate</t>
  </si>
  <si>
    <t>🏷️ Modèles ouverts et produits grand public : Llama, Meta AI, Llama Stack</t>
  </si>
  <si>
    <t>🏷️ Entreprise européenne de modèles : Mistral, Le Chat, La Plateforme</t>
  </si>
  <si>
    <t>🏷️ IA d'entreprise et RAG : Command, Embed, Rerank, North</t>
  </si>
  <si>
    <t>🏷️ Plateforme communautaire open source : Models, Datasets, Spaces, Inference</t>
  </si>
  <si>
    <t>🏷️ Automatisation open source : workflows, AI nodes, agents et déploiement self-hosted</t>
  </si>
  <si>
    <t>🏷️ Automatisation visuelle : Make AI Agents et modules IA</t>
  </si>
  <si>
    <t>🏷️ Automatisation no-code : Zapier AI, Agents, Chatbots et AI Actions</t>
  </si>
  <si>
    <t>🧭 Agent Builder no-code</t>
  </si>
  <si>
    <t>🎯 Je crée des agents spécialisés pour mon équipe</t>
  </si>
  <si>
    <t>🏷️ Copilot Agent Builder</t>
  </si>
  <si>
    <t>🏷️ ❌ Pas d'équivalent direct</t>
  </si>
  <si>
    <t>🏷️ Vertex AI Agent Builder</t>
  </si>
  <si>
    <t>🏷️ Agentforce</t>
  </si>
  <si>
    <t>🏷️ AI Agent Studio</t>
  </si>
  <si>
    <t>🏷️ Bedrock Agents</t>
  </si>
  <si>
    <t>🏷️ watsonx Assistant</t>
  </si>
  <si>
    <t>🏷️ Spaces</t>
  </si>
  <si>
    <t>🏷️ Zapier Chatbots</t>
  </si>
  <si>
    <t>🧭 Studio low-code</t>
  </si>
  <si>
    <t>🎯 Je relie les agents aux processus métier</t>
  </si>
  <si>
    <t>🏷️ Copilot Studio</t>
  </si>
  <si>
    <t>🧭 Plateforme de développement d'agents</t>
  </si>
  <si>
    <t>🎯 Je développe des agents personnalisés avec du code</t>
  </si>
  <si>
    <t>🏷️ Semantic Kernel / Copilot SDK</t>
  </si>
  <si>
    <t>🏷️ SDK Claude + MCP</t>
  </si>
  <si>
    <t>🏷️ Llama Stack</t>
  </si>
  <si>
    <t>🏷️ La Plateforme / API</t>
  </si>
  <si>
    <t>🏷️ Command API</t>
  </si>
  <si>
    <t>🏷️ Transformers / Inference API</t>
  </si>
  <si>
    <t>🧭 Automatisation des flux</t>
  </si>
  <si>
    <t>🎯 J'automatise des tâches répétitives et des processus métier</t>
  </si>
  <si>
    <t>🏷️ Power Automate</t>
  </si>
  <si>
    <t>🏷️ Flow Builder</t>
  </si>
  <si>
    <t>🏷️ Flow Designer</t>
  </si>
  <si>
    <t>🏷️ SAP Build Process Automation</t>
  </si>
  <si>
    <t>🏷️ Oracle Integration Cloud</t>
  </si>
  <si>
    <t>🏷️ Automation for Jira</t>
  </si>
  <si>
    <t>🏷️ AWS Step Functions</t>
  </si>
  <si>
    <t>🏷️ watsonx Orchestrate</t>
  </si>
  <si>
    <t>🏷️ N8N + AI nodes</t>
  </si>
  <si>
    <t>🏷️ Make + AI modules</t>
  </si>
  <si>
    <t>🏷️ Zapier + AI Actions</t>
  </si>
  <si>
    <t>🧭 Base de données / Stockage</t>
  </si>
  <si>
    <t>🎯 Je stocke et structure les données pour mes applications et agents</t>
  </si>
  <si>
    <t>🏷️ Dataverse</t>
  </si>
  <si>
    <t>🏷️ BigQuery</t>
  </si>
  <si>
    <t>🏷️ Salesforce Data Cloud</t>
  </si>
  <si>
    <t>🏷️ Now Platform Tables</t>
  </si>
  <si>
    <t>🏷️ SAP HANA</t>
  </si>
  <si>
    <t>🏷️ Oracle Database</t>
  </si>
  <si>
    <t>🏷️ Amazon DynamoDB</t>
  </si>
  <si>
    <t>🏷️ Db2</t>
  </si>
  <si>
    <t>🏷️ Zapier Tables</t>
  </si>
  <si>
    <t>🧭 Gestion documentaire / GED</t>
  </si>
  <si>
    <t>🎯 Je stocke, partage et gère les documents de mon équipe</t>
  </si>
  <si>
    <t>🏷️ SharePoint</t>
  </si>
  <si>
    <t>🏷️ Google Drive</t>
  </si>
  <si>
    <t>🏷️ Salesforce Files</t>
  </si>
  <si>
    <t>🏷️ SAP Document Management</t>
  </si>
  <si>
    <t>🏷️ Oracle Content Management</t>
  </si>
  <si>
    <t>🏷️ Confluence</t>
  </si>
  <si>
    <t>🏷️ Amazon S3</t>
  </si>
  <si>
    <t>🏷️ IBM FileNet</t>
  </si>
  <si>
    <t>🏷️ Hub</t>
  </si>
  <si>
    <t>🧭 Collaboration / Communication</t>
  </si>
  <si>
    <t>🎯 Je communique et collabore avec mon équipe en temps réel</t>
  </si>
  <si>
    <t>🏷️ Teams</t>
  </si>
  <si>
    <t>🏷️ Google Chat / Meet</t>
  </si>
  <si>
    <t>🏷️ Slack (Salesforce)</t>
  </si>
  <si>
    <t>🏷️ SAP Jam</t>
  </si>
  <si>
    <t>🏷️ Confluence / Jira</t>
  </si>
  <si>
    <t>🏷️ Amazon Chime</t>
  </si>
  <si>
    <t>🏷️ WhatsApp AI</t>
  </si>
  <si>
    <t>🧭 Code / Développement</t>
  </si>
  <si>
    <t>🎯 L'IA m'aide à écrire, comprendre et déboguer du code</t>
  </si>
  <si>
    <t>🏷️ GitHub Copilot</t>
  </si>
  <si>
    <t>🏷️ Claude Code</t>
  </si>
  <si>
    <t>🏷️ Gemini Code Assist</t>
  </si>
  <si>
    <t>🏷️ Amazon Q Developer</t>
  </si>
  <si>
    <t>🏷️ watsonx Code Assistant</t>
  </si>
  <si>
    <t>🏷️ Code Llama</t>
  </si>
  <si>
    <t>🏷️ Codestral</t>
  </si>
  <si>
    <t>🏷️ StarCoder</t>
  </si>
  <si>
    <t>🧭 Recherche / RAG</t>
  </si>
  <si>
    <t>🎯 Je recherche dans mes données d'entreprise avec l'IA</t>
  </si>
  <si>
    <t>🏷️ Azure AI Search / Copilot connectors</t>
  </si>
  <si>
    <t>🏷️ Claude + RAG API</t>
  </si>
  <si>
    <t>🏷️ Vertex AI Search</t>
  </si>
  <si>
    <t>🏷️ Perplexity Pro (sources)</t>
  </si>
  <si>
    <t>🏷️ Einstein Search</t>
  </si>
  <si>
    <t>🏷️ Now Assist Search</t>
  </si>
  <si>
    <t>🏷️ SAP Business AI Search</t>
  </si>
  <si>
    <t>🏷️ Oracle AI Vector Search</t>
  </si>
  <si>
    <t>🏷️ Atlassian Intelligence</t>
  </si>
  <si>
    <t>🏷️ Amazon Kendra</t>
  </si>
  <si>
    <t>🏷️ watsonx Discovery</t>
  </si>
  <si>
    <t>🏷️ Cohere Rerank</t>
  </si>
  <si>
    <t>🏷️ Inference Endpoints</t>
  </si>
  <si>
    <t>🧭 Analyse de données / BI</t>
  </si>
  <si>
    <t>🎯 L'IA m'aide à analyser et visualiser mes données</t>
  </si>
  <si>
    <t>🏷️ Copilot in Power BI / Excel</t>
  </si>
  <si>
    <t>🏷️ Claude (analyse docs)</t>
  </si>
  <si>
    <t>🏷️ Gemini in Looker</t>
  </si>
  <si>
    <t>🏷️ Tableau AI (Einstein)</t>
  </si>
  <si>
    <t>🏷️ Now Assist Analytics</t>
  </si>
  <si>
    <t>🏷️ SAP Analytics Cloud AI</t>
  </si>
  <si>
    <t>🏷️ Oracle Analytics AI</t>
  </si>
  <si>
    <t>🏷️ Amazon QuickSight Q</t>
  </si>
  <si>
    <t>🏷️ watsonx.ai</t>
  </si>
  <si>
    <t>🧭 Sécurité / Gouvernance IA</t>
  </si>
  <si>
    <t>🎯 Je sécurise et gouverne l'usage de l'IA dans mon organisation</t>
  </si>
  <si>
    <t>🏷️ Microsoft Purview / Entra</t>
  </si>
  <si>
    <t>🏷️ Claude Admin Console</t>
  </si>
  <si>
    <t>🏷️ Vertex AI Governance</t>
  </si>
  <si>
    <t>🏷️ Salesforce Shield + Einstein Trust</t>
  </si>
  <si>
    <t>🏷️ SAP AI Core Governance</t>
  </si>
  <si>
    <t>🏷️ Atlassian Guard</t>
  </si>
  <si>
    <t>🏷️ Amazon Bedrock Guardrails</t>
  </si>
  <si>
    <t>🏷️ watsonx.governance</t>
  </si>
  <si>
    <t>🏷️ Llama Guard</t>
  </si>
  <si>
    <t>🧭 Génération d'images</t>
  </si>
  <si>
    <t>🎯 Je crée des images et visuels avec l'IA</t>
  </si>
  <si>
    <t>🏷️ DALL-E (via Copilot) / Designer</t>
  </si>
  <si>
    <t>🏷️ Imagen / Gemini</t>
  </si>
  <si>
    <t>🏷️ Amazon Titan Image</t>
  </si>
  <si>
    <t>🏷️ Stable Diffusion (Hub)</t>
  </si>
  <si>
    <t>🧭 Transcription / Réunions</t>
  </si>
  <si>
    <t>🎯 Je transcris et résume mes réunions et contenus audio</t>
  </si>
  <si>
    <t>🏷️ Copilot in Teams / Recall</t>
  </si>
  <si>
    <t>🏷️ Google Meet AI notes</t>
  </si>
  <si>
    <t>🏷️ Einstein Conversation Insights</t>
  </si>
  <si>
    <t>🏷️ Amazon Transcribe</t>
  </si>
  <si>
    <t>🏷️ watsonx Speech to Text</t>
  </si>
  <si>
    <t>🏷️ Whisper (Hub)</t>
  </si>
  <si>
    <t>🧭 Agent d’exécution / délégation de tâches</t>
  </si>
  <si>
    <t>🎯 Je délègue une mission complexe et multiétape à une IA qui planifie, utilise des outils et me livre un résultat</t>
  </si>
  <si>
    <t>🏷️ Copilot Cowork</t>
  </si>
  <si>
    <t>🏷️ Claude Cowork</t>
  </si>
  <si>
    <t>🏷️ ChatGPT agent / Workspace agents (dans ChatGPT Work)</t>
  </si>
  <si>
    <t>🏷️ Now Assist AI Agents</t>
  </si>
  <si>
    <t>🏷️ Joule Agents</t>
  </si>
  <si>
    <t>🏷️ Oracle AI Agents</t>
  </si>
  <si>
    <t>🏷️ Rovo Agents</t>
  </si>
  <si>
    <t>🏷️ Amazon Q / Bedrock Agents</t>
  </si>
  <si>
    <t>🏷️ Zapier Agents</t>
  </si>
  <si>
    <t>🎯 L’IA accompagne le travail quotidien : rédaction, recherche, documents, présentations, tableaux et données d’entreprise. Exemples de capacités spécifiques : Copilot Cowork chez Microsoft et ChatGPT Work chez OpenAI.</t>
  </si>
  <si>
    <t>🏷️ ChatGPT Work (inclus avec ChatGPT Business / Enterprise)</t>
  </si>
  <si>
    <t>🏷️ OpenAI : GPT, ChatGPT Work, ChatGPT agent, Workspace agents, Codex, API / Responses API, Agents SDK et OpenAI Frontier</t>
  </si>
  <si>
    <t>🏷️ GPTs personnalisés / Workspace agents</t>
  </si>
  <si>
    <t>🏷️ Agent Builder / Responses API</t>
  </si>
  <si>
    <t>🏷️ Responses API / Agents SDK</t>
  </si>
  <si>
    <t>🏷️ ChatGPT Work / Workspace agents (tâches planifiées)</t>
  </si>
  <si>
    <t>🏷️ Codex dans ChatGPT</t>
  </si>
  <si>
    <t>🏷️ Deep Research / Company Knowledge / File Search</t>
  </si>
  <si>
    <t>🏷️ Analyse de données dans ChatGPT</t>
  </si>
  <si>
    <t>🏷️ Contrôles admin ChatGPT / OpenAI Frontier</t>
  </si>
  <si>
    <t>🏷️ ChatGPT Images</t>
  </si>
  <si>
    <t>🏷️ ChatGPT Voice / Whisper API</t>
  </si>
  <si>
    <t>🔎 Recherche guidée dans l’Atlas IA</t>
  </si>
  <si>
    <t>Décrivez votre besoin avec quelques mots-clés : la recherche parcourt les catégories, les intentions et toutes les solutions référencées.</t>
  </si>
  <si>
    <t>Conseil : utilisez 2 à 5 mots significatifs, par exemple « analyser données », « créer agent », « sécuriser IA », « préparer réunion » ou « automatiser tâches ». Les mots fréquents comme « je veux » sont moins utiles.</t>
  </si>
  <si>
    <t>Pertinence</t>
  </si>
  <si>
    <t>Catégorie / repère</t>
  </si>
  <si>
    <t>Besoin couvert</t>
  </si>
  <si>
    <t>Solutions associées</t>
  </si>
  <si>
    <t>Index recherche — solutions</t>
  </si>
  <si>
    <t>📚 Recherche dans le Glossaire IA</t>
  </si>
  <si>
    <t>Saisissez un terme, une catégorie ou quelques mots de description : les résultats correspondants apparaissent immédiatement.</t>
  </si>
  <si>
    <t>Exemples : RAG, Copilot, sécurité, modèle, données, raisonnement, agent autonome. La recherche accepte également une partie d’un mot.</t>
  </si>
  <si>
    <t>🎓 Recherche dans les certifications et Applied Skills</t>
  </si>
  <si>
    <t>Exemples : Copilot, débutant, agent, business, gratuit, Power Platform, data, immédiate, AB-620.</t>
  </si>
  <si>
    <t>📚 Bibliothèque expérimentale de prompts</t>
  </si>
  <si>
    <t>Référentiel versionné : chaque prompt conserve sa source, ses variables, son statut de test et ses conditions de réutilisation.</t>
  </si>
  <si>
    <t>ID</t>
  </si>
  <si>
    <t>Besoin / intention</t>
  </si>
  <si>
    <t>Métier</t>
  </si>
  <si>
    <t>Application</t>
  </si>
  <si>
    <t>Tâche</t>
  </si>
  <si>
    <t>Variables</t>
  </si>
  <si>
    <t>Prérequis</t>
  </si>
  <si>
    <t>Résultat attendu</t>
  </si>
  <si>
    <t>Technique</t>
  </si>
  <si>
    <t>Source</t>
  </si>
  <si>
    <t>URL source</t>
  </si>
  <si>
    <t>Auteur</t>
  </si>
  <si>
    <t>Licence</t>
  </si>
  <si>
    <t>Date collecte</t>
  </si>
  <si>
    <t>Statut</t>
  </si>
  <si>
    <t>Nature source</t>
  </si>
  <si>
    <t>P-001</t>
  </si>
  <si>
    <t>Analyser un classeur</t>
  </si>
  <si>
    <t>Analyser des données et identifier les enseignements clés</t>
  </si>
  <si>
    <t>Analyse de données</t>
  </si>
  <si>
    <t>Analyste / Finance</t>
  </si>
  <si>
    <t>Analyse</t>
  </si>
  <si>
    <t>Analyze this workbook and give me interesting data insights.</t>
  </si>
  <si>
    <t>[classeur]</t>
  </si>
  <si>
    <t>Classeur ouvert et données structurées</t>
  </si>
  <si>
    <t>Insights, tendances et anomalies</t>
  </si>
  <si>
    <t>Instruction directe</t>
  </si>
  <si>
    <t>https://adoption.microsoft.com/en-us/copilot/prompt-gallery/</t>
  </si>
  <si>
    <t>Réutilisation à vérifier</t>
  </si>
  <si>
    <t>À tester</t>
  </si>
  <si>
    <t>Officiel</t>
  </si>
  <si>
    <t>P-002</t>
  </si>
  <si>
    <t>Détecter tendances et anomalies</t>
  </si>
  <si>
    <t>Comprendre rapidement un fichier de données</t>
  </si>
  <si>
    <t>Analyze this file and describe any important trends, outliers, or anomalies. Suggest possible explanations and next steps.</t>
  </si>
  <si>
    <t>[fichier]</t>
  </si>
  <si>
    <t>Fichier de données joint ou ouvert</t>
  </si>
  <si>
    <t>Analyse structurée et recommandations</t>
  </si>
  <si>
    <t>Analyse + recommandations</t>
  </si>
  <si>
    <t>P-003</t>
  </si>
  <si>
    <t>Créer un plan de ventes Excel</t>
  </si>
  <si>
    <t>Créer un classeur opérationnel structuré</t>
  </si>
  <si>
    <t>Création de contenu</t>
  </si>
  <si>
    <t>Ventes</t>
  </si>
  <si>
    <t>Création</t>
  </si>
  <si>
    <t>Create a workbook called "Q2 Sales Plan" with sheets for Pipeline, Actuals, Forecast, and Actions. Add clear headers and a summary view.</t>
  </si>
  <si>
    <t>[période] [structure]</t>
  </si>
  <si>
    <t>Excel avec Copilot</t>
  </si>
  <si>
    <t>Classeur multi-feuilles</t>
  </si>
  <si>
    <t>Objectif + structure de sortie</t>
  </si>
  <si>
    <t>P-004</t>
  </si>
  <si>
    <t>Budget : variance et prévision</t>
  </si>
  <si>
    <t>Comparer réalisé et prévision</t>
  </si>
  <si>
    <t>Finance</t>
  </si>
  <si>
    <t>Finance / Management</t>
  </si>
  <si>
    <t>Create this month’s budget variance and forecast update. Compare actuals to budget, highlight material variances, and summarize likely causes.</t>
  </si>
  <si>
    <t>[mois] [seuil de matérialité]</t>
  </si>
  <si>
    <t>Données budget et réalisé disponibles</t>
  </si>
  <si>
    <t>Tableau de variance et synthèse</t>
  </si>
  <si>
    <t>Analyse financière structurée</t>
  </si>
  <si>
    <t>P-005</t>
  </si>
  <si>
    <t>Tester une hypothèse financière</t>
  </si>
  <si>
    <t>Mesurer l'impact d'un changement d'hypothèse</t>
  </si>
  <si>
    <t>Finance / Stratégie</t>
  </si>
  <si>
    <t>Simulation</t>
  </si>
  <si>
    <t>What is the impact of [change in assumption] on [financial metric]? Show the calculation, key sensitivities, and a concise interpretation.</t>
  </si>
  <si>
    <t>[hypothèse] [métrique]</t>
  </si>
  <si>
    <t>Modèle financier disponible</t>
  </si>
  <si>
    <t>Impact chiffré et sensibilités</t>
  </si>
  <si>
    <t>What-if / sensibilité</t>
  </si>
  <si>
    <t>P-006</t>
  </si>
  <si>
    <t>Résumer les e-mails urgents</t>
  </si>
  <si>
    <t>Prioriser rapidement sa messagerie</t>
  </si>
  <si>
    <t>Productivité</t>
  </si>
  <si>
    <t>Tous métiers</t>
  </si>
  <si>
    <t>Outlook</t>
  </si>
  <si>
    <t>Synthèse</t>
  </si>
  <si>
    <t>Please summarize the emails I've received over the past two weeks and prioritize them based on urgency. Include sender, topic, requested action, and deadline.</t>
  </si>
  <si>
    <t>[période]</t>
  </si>
  <si>
    <t>Accès à Outlook</t>
  </si>
  <si>
    <t>Tableau priorisé</t>
  </si>
  <si>
    <t>Synthèse + priorisation</t>
  </si>
  <si>
    <t>P-007</t>
  </si>
  <si>
    <t>Identifier qui attend une réponse</t>
  </si>
  <si>
    <t>Repérer les demandes en attente</t>
  </si>
  <si>
    <t>Find emails in the past 48 hours where someone is waiting on me. List the sender, request, urgency, and recommended next action.</t>
  </si>
  <si>
    <t>Liste d'actions</t>
  </si>
  <si>
    <t>Recherche contextuelle</t>
  </si>
  <si>
    <t>P-008</t>
  </si>
  <si>
    <t>Organiser sa boîte de réception</t>
  </si>
  <si>
    <t>Trier les e-mails et décider des actions</t>
  </si>
  <si>
    <t>Organisation</t>
  </si>
  <si>
    <t>You are my email analyst. Review all unread emails in my Outlook inbox and summarize each one in a structured table with urgency, action needed, owner, and due date.</t>
  </si>
  <si>
    <t>[règles de priorité]</t>
  </si>
  <si>
    <t>Tableau de triage</t>
  </si>
  <si>
    <t>Rôle + format contraint</t>
  </si>
  <si>
    <t>P-009</t>
  </si>
  <si>
    <t>Préparer une réunion client</t>
  </si>
  <si>
    <t>Arriver préparé avec le contexte utile</t>
  </si>
  <si>
    <t>Réunions</t>
  </si>
  <si>
    <t>Ventes / Conseil</t>
  </si>
  <si>
    <t>Outlook / Teams</t>
  </si>
  <si>
    <t>Préparation</t>
  </si>
  <si>
    <t>Prepare me for my upcoming customer meeting with [Customer name]. Pull together recent emails, meetings, files, open actions, risks, and suggested questions.</t>
  </si>
  <si>
    <t>[client]</t>
  </si>
  <si>
    <t>Accès aux données Microsoft 365</t>
  </si>
  <si>
    <t>Brief de réunion</t>
  </si>
  <si>
    <t>Grounding multi-source</t>
  </si>
  <si>
    <t>P-010</t>
  </si>
  <si>
    <t>Extraire les actions d'une réunion</t>
  </si>
  <si>
    <t>Transformer une réunion en plan d'action</t>
  </si>
  <si>
    <t>Extraction</t>
  </si>
  <si>
    <t>Identify and list all action items agreed upon during the meeting, including owner, due date, dependencies, and unresolved questions.</t>
  </si>
  <si>
    <t>[réunion]</t>
  </si>
  <si>
    <t>Transcription ou notes disponibles</t>
  </si>
  <si>
    <t>Plan d'action structuré</t>
  </si>
  <si>
    <t>Extraction structurée</t>
  </si>
  <si>
    <t>P-011</t>
  </si>
  <si>
    <t>Recenser les questions ouvertes</t>
  </si>
  <si>
    <t>Identifier ce qui reste à résoudre</t>
  </si>
  <si>
    <t>List all open questions raised during the meeting that have not yet been answered or resolved. Group them by topic and suggest an owner.</t>
  </si>
  <si>
    <t>Registre des questions ouvertes</t>
  </si>
  <si>
    <t>Extraction + regroupement</t>
  </si>
  <si>
    <t>P-012</t>
  </si>
  <si>
    <t>Rédiger un point projet</t>
  </si>
  <si>
    <t>Synthétiser le statut d'une initiative</t>
  </si>
  <si>
    <t>Gestion de projet</t>
  </si>
  <si>
    <t>Chef de projet</t>
  </si>
  <si>
    <t>Copilot Chat / Teams</t>
  </si>
  <si>
    <t>Draft a project update based on emails, chats, and meetings in [project]. Include progress, decisions, risks, blockers, actions, and next milestones.</t>
  </si>
  <si>
    <t>[projet] [période]</t>
  </si>
  <si>
    <t>Accès aux sources projet</t>
  </si>
  <si>
    <t>Note de statut exécutive</t>
  </si>
  <si>
    <t>Synthèse multi-source</t>
  </si>
  <si>
    <t>P-013</t>
  </si>
  <si>
    <t>Planifier un lancement produit</t>
  </si>
  <si>
    <t>Construire un plan de lancement actionnable</t>
  </si>
  <si>
    <t>Produit / Marketing</t>
  </si>
  <si>
    <t>Planification</t>
  </si>
  <si>
    <t>Build a clear product launch plan for [Product name]. Compare it to [Competitors], define audiences, messages, channels, milestones, owners, risks, and success metrics.</t>
  </si>
  <si>
    <t>[produit] [concurrents]</t>
  </si>
  <si>
    <t>Contexte produit disponible</t>
  </si>
  <si>
    <t>Plan de lancement</t>
  </si>
  <si>
    <t>Planification + comparaison</t>
  </si>
  <si>
    <t>P-014</t>
  </si>
  <si>
    <t>Recherche approfondie</t>
  </si>
  <si>
    <t>Explorer un sujet avec sources et angles</t>
  </si>
  <si>
    <t>Researcher / Copilot Chat</t>
  </si>
  <si>
    <t>I'm interested in conducting thorough research on [TOPIC]. Provide key questions, primary sources, competing viewpoints, evidence, uncertainties, and a concise executive summary.</t>
  </si>
  <si>
    <t>[sujet] [périmètre]</t>
  </si>
  <si>
    <t>Accès web ou sources métier</t>
  </si>
  <si>
    <t>Rapport de recherche sourcé</t>
  </si>
  <si>
    <t>Deep research</t>
  </si>
  <si>
    <t>P-015</t>
  </si>
  <si>
    <t>Analyser une entreprise</t>
  </si>
  <si>
    <t>Préparer une analyse d'entreprise structurée</t>
  </si>
  <si>
    <t>Stratégie / Ventes</t>
  </si>
  <si>
    <t>Help me analyze a company. If I do not provide one, ask me which company. Cover business model, market, competitors, financial signals, risks, recent news, and sources.</t>
  </si>
  <si>
    <t>[entreprise]</t>
  </si>
  <si>
    <t>Accès web</t>
  </si>
  <si>
    <t>Analyse d'entreprise</t>
  </si>
  <si>
    <t>Questions de clarification + recherche</t>
  </si>
  <si>
    <t>P-016</t>
  </si>
  <si>
    <t>Créer une présentation exécutive</t>
  </si>
  <si>
    <t>Transformer un document en présentation</t>
  </si>
  <si>
    <t>Présentation</t>
  </si>
  <si>
    <t>Management / Conseil</t>
  </si>
  <si>
    <t>Create a presentation from [file] summarizing the key requirements, decisions, risks, and recommended next steps for an executive audience.</t>
  </si>
  <si>
    <t>[fichier] [public]</t>
  </si>
  <si>
    <t>Document source joint</t>
  </si>
  <si>
    <t>Présentation exécutive</t>
  </si>
  <si>
    <t>Transformation de format</t>
  </si>
  <si>
    <t>P-017</t>
  </si>
  <si>
    <t>Améliorer une présentation</t>
  </si>
  <si>
    <t>Contrôler cohérence et marque</t>
  </si>
  <si>
    <t>Communication</t>
  </si>
  <si>
    <t>Révision</t>
  </si>
  <si>
    <t>Review my presentation for inconsistencies with [brand guidelines]. Identify issues in message, structure, terminology, visuals, and accessibility, then suggest precise edits.</t>
  </si>
  <si>
    <t>[charte]</t>
  </si>
  <si>
    <t>Présentation et charte disponibles</t>
  </si>
  <si>
    <t>Liste de corrections</t>
  </si>
  <si>
    <t>Revue avec critères</t>
  </si>
  <si>
    <t>P-018</t>
  </si>
  <si>
    <t>Créer des idées de brainstorming</t>
  </si>
  <si>
    <t>Lancer une session d'idéation</t>
  </si>
  <si>
    <t>Créativité</t>
  </si>
  <si>
    <t>Idéation</t>
  </si>
  <si>
    <t>Generate a list of creative ideas for an ideation session about [theme]. Group ideas by ambition, feasibility, and expected impact, then propose three discussion questions.</t>
  </si>
  <si>
    <t>[thème]</t>
  </si>
  <si>
    <t>Objectif de la session défini</t>
  </si>
  <si>
    <t>Idées classées</t>
  </si>
  <si>
    <t>Divergence + classement</t>
  </si>
  <si>
    <t>P-019</t>
  </si>
  <si>
    <t>Réécrire avec clarté</t>
  </si>
  <si>
    <t>Rendre un texte plus clair et concis</t>
  </si>
  <si>
    <t>Rédaction</t>
  </si>
  <si>
    <t>Réécriture</t>
  </si>
  <si>
    <t>Can you help me rewrite this paragraph to make it clearer and more concise? Preserve the meaning, flag any ambiguity, and provide one polished version.</t>
  </si>
  <si>
    <t>[texte]</t>
  </si>
  <si>
    <t>Texte fourni</t>
  </si>
  <si>
    <t>Version réécrite</t>
  </si>
  <si>
    <t>Réécriture contrainte</t>
  </si>
  <si>
    <t>P-020</t>
  </si>
  <si>
    <t>Résumer un document</t>
  </si>
  <si>
    <t>Extraire rapidement l'essentiel</t>
  </si>
  <si>
    <t>Summarize this document in a bulleted list of key points. Separate facts, decisions, risks, actions, and unanswered questions.</t>
  </si>
  <si>
    <t>[document]</t>
  </si>
  <si>
    <t>Document ouvert ou joint</t>
  </si>
  <si>
    <t>Synthèse structurée</t>
  </si>
  <si>
    <t>Résumé structuré</t>
  </si>
  <si>
    <t>P-021</t>
  </si>
  <si>
    <t>Répondre à un e-mail</t>
  </si>
  <si>
    <t>Rédiger une réponse précise et appropriée</t>
  </si>
  <si>
    <t>Draft a reply that acknowledges the sender's main points and responds clearly. Use a [tone] tone, keep it under [length], and end with the next action.</t>
  </si>
  <si>
    <t>[ton] [longueur]</t>
  </si>
  <si>
    <t>E-mail sélectionné</t>
  </si>
  <si>
    <t>Réponse prête à relire</t>
  </si>
  <si>
    <t>Contraintes de ton et longueur</t>
  </si>
  <si>
    <t>P-022</t>
  </si>
  <si>
    <t>Préparer une passation d'absence</t>
  </si>
  <si>
    <t>Assurer la continuité pendant une absence</t>
  </si>
  <si>
    <t>I'll be out of the office from [date] to [date]. Create a clear handover that lists active topics, status, owners, deadlines, risks, and escalation contacts.</t>
  </si>
  <si>
    <t>[dates] [contacts]</t>
  </si>
  <si>
    <t>Accès aux sujets en cours</t>
  </si>
  <si>
    <t>Document de passation</t>
  </si>
  <si>
    <t>Synthèse + plan d'action</t>
  </si>
  <si>
    <t>P-023</t>
  </si>
  <si>
    <t>Comparer plusieurs fichiers</t>
  </si>
  <si>
    <t>Identifier les différences significatives</t>
  </si>
  <si>
    <t>Analyse documentaire</t>
  </si>
  <si>
    <t>Juridique / Projet</t>
  </si>
  <si>
    <t>Copilot Chat / Word</t>
  </si>
  <si>
    <t>Comparaison</t>
  </si>
  <si>
    <t>Compare these files grouped by differences in formatting, structure, and content. Highlight material changes, contradictions, omissions, and items requiring review.</t>
  </si>
  <si>
    <t>[fichiers]</t>
  </si>
  <si>
    <t>Plusieurs fichiers joints</t>
  </si>
  <si>
    <t>Matrice comparative</t>
  </si>
  <si>
    <t>Comparaison multi-document</t>
  </si>
  <si>
    <t>P-024</t>
  </si>
  <si>
    <t>Évaluer une solution IT</t>
  </si>
  <si>
    <t>Créer une analyse de décision structurée</t>
  </si>
  <si>
    <t>IT / Architecture</t>
  </si>
  <si>
    <t>Produit / IT</t>
  </si>
  <si>
    <t>Évaluation</t>
  </si>
  <si>
    <t>I am an IT Product Manager evaluating [solution]. Draft an evaluation covering business fit, architecture, integration, security, governance, cost, risks, alternatives, and recommendation.</t>
  </si>
  <si>
    <t>[solution] [contraintes]</t>
  </si>
  <si>
    <t>Contexte et critères disponibles</t>
  </si>
  <si>
    <t>Dossier d'évaluation</t>
  </si>
  <si>
    <t>Cadre de décision</t>
  </si>
  <si>
    <t>🧪 Laboratoire et moteur de recherche de prompts</t>
  </si>
  <si>
    <t>Décrivez votre besoin, puis affinez éventuellement par outil, catégorie ou niveau. Champ vide = bibliothèque complète.</t>
  </si>
  <si>
    <t>Outil (optionnel)</t>
  </si>
  <si>
    <t>Catégorie (optionnel)</t>
  </si>
  <si>
    <t>Niveau (optionnel)</t>
  </si>
  <si>
    <t>Statut (optionnel)</t>
  </si>
  <si>
    <t>🌐 Sources et politique de collecte des prompts</t>
  </si>
  <si>
    <t>Registre des sources autorisées, de leur fiabilité et des conditions de réutilisation. La collecte automatique doit toujours conserver l’URL et placer les nouveautés en relecture.</t>
  </si>
  <si>
    <t>Type</t>
  </si>
  <si>
    <t>URL</t>
  </si>
  <si>
    <t>Fiabilité</t>
  </si>
  <si>
    <t>Licence / réutilisation</t>
  </si>
  <si>
    <t>Règle de collecte</t>
  </si>
  <si>
    <t>Microsoft Copilot Prompt Gallery</t>
  </si>
  <si>
    <t>Officielle</t>
  </si>
  <si>
    <t>https://adoption.microsoft.com/fr-fr/copilot/prompt-gallery/</t>
  </si>
  <si>
    <t>Très élevée</t>
  </si>
  <si>
    <t>Vérifier les conditions Microsoft</t>
  </si>
  <si>
    <t>Collecter titre, fonction, produit, tâche et texte ; statut À tester</t>
  </si>
  <si>
    <t>OpenAI Prompting Guide</t>
  </si>
  <si>
    <t>https://developers.openai.com/api/docs/guides/prompting</t>
  </si>
  <si>
    <t>Documentation OpenAI</t>
  </si>
  <si>
    <t>Collecter techniques et pratiques ; versionner et tester</t>
  </si>
  <si>
    <t>Documentation Anthropic</t>
  </si>
  <si>
    <t>Collecter prompts et patterns avec URL exacte</t>
  </si>
  <si>
    <t>Google Gemini Prompt Gallery</t>
  </si>
  <si>
    <t>https://ai.google.dev/gemini-api/prompts</t>
  </si>
  <si>
    <t>Documentation Google</t>
  </si>
  <si>
    <t>Collecter exemples avec modèle et modalité</t>
  </si>
  <si>
    <t>Communautaire</t>
  </si>
  <si>
    <t>Moyenne</t>
  </si>
  <si>
    <t>Vérifier la licence du dépôt</t>
  </si>
  <si>
    <t>Importer uniquement après dédoublonnage et revue</t>
  </si>
  <si>
    <t>Variable</t>
  </si>
  <si>
    <t>Vérifier auteur et conditions</t>
  </si>
  <si>
    <t>Ne jamais publier sans revue humaine</t>
  </si>
  <si>
    <t>Hugging Face Datasets</t>
  </si>
  <si>
    <t>Communautaire / datasets</t>
  </si>
  <si>
    <t>https://huggingface.co/datasets</t>
  </si>
  <si>
    <t>Vérifier la licence de chaque dataset</t>
  </si>
  <si>
    <t>Conserver dataset, version, licence et auteur</t>
  </si>
  <si>
    <t>✅ Grille d’évaluation et de validation des prompts</t>
  </si>
  <si>
    <t>Échelle 1 à 5. Un prompt reste expérimental tant que les notes et le test réel ne sont pas renseignés.</t>
  </si>
  <si>
    <t>Prompt ID</t>
  </si>
  <si>
    <t>Modèle testé</t>
  </si>
  <si>
    <t>Date test</t>
  </si>
  <si>
    <t>Clarté</t>
  </si>
  <si>
    <t>Respect consignes</t>
  </si>
  <si>
    <t>Exactitude</t>
  </si>
  <si>
    <t>Réutilisabilité</t>
  </si>
  <si>
    <t>Qualité format</t>
  </si>
  <si>
    <t>Score moyen</t>
  </si>
  <si>
    <t>Notes de test</t>
  </si>
  <si>
    <t>Non testé</t>
  </si>
  <si>
    <t>À évaluer</t>
  </si>
  <si>
    <t>Glossaire structuré</t>
  </si>
  <si>
    <t>Usages et repères comparés</t>
  </si>
  <si>
    <t>Bibliothèque sourcée</t>
  </si>
  <si>
    <t>Certifications et Applied Skills</t>
  </si>
  <si>
    <t>Registre de collecte des prompts</t>
  </si>
  <si>
    <t>⚡ MOODBOARD V2 — CYBER LAB UNIVERSE</t>
  </si>
  <si>
    <t>Quatre directions issues de votre préférence : interfaces sombres, énergie néon, puissance technologique et finitions premium.</t>
  </si>
  <si>
    <t>01 — CYBER LAB // PRIME</t>
  </si>
  <si>
    <t>La version définitive, plus précise et plus premium.</t>
  </si>
  <si>
    <t>FAVORI — 10/10</t>
  </si>
  <si>
    <t>00E5FF</t>
  </si>
  <si>
    <t>7C3AED</t>
  </si>
  <si>
    <t>FF2D95</t>
  </si>
  <si>
    <t>ATLAS:// KNOWLEDGE CORE</t>
  </si>
  <si>
    <t>Le savoir n’est pas une archive. C’est un système vivant à explorer, tester et activer.</t>
  </si>
  <si>
    <t>LIVE KNOWLEDGE  •  VERIFIED SIGNALS</t>
  </si>
  <si>
    <t>INITIALISER L’EXPLORATION  →</t>
  </si>
  <si>
    <t>SEARCH /</t>
  </si>
  <si>
    <t>SIGNALS /</t>
  </si>
  <si>
    <t>LAB /</t>
  </si>
  <si>
    <t>⌕ explorer</t>
  </si>
  <si>
    <t>⚡ tendances</t>
  </si>
  <si>
    <t>⚗ expérimenter</t>
  </si>
  <si>
    <t>01 — notions</t>
  </si>
  <si>
    <t>02 — agents</t>
  </si>
  <si>
    <t>03 — prompts</t>
  </si>
  <si>
    <t>Puissant • net • iconique</t>
  </si>
  <si>
    <t>Le meilleur équilibre entre sérieux, énergie et identité AI native. Néon maîtrisé, panneaux techniques et données très lisibles.</t>
  </si>
  <si>
    <t>02 — CYBER PULSE</t>
  </si>
  <si>
    <t>Plus vif, plus brutal, presque une interface de mission.</t>
  </si>
  <si>
    <t>HIGH ENERGY — 10/10</t>
  </si>
  <si>
    <t>00FFB2</t>
  </si>
  <si>
    <t>00A3FF</t>
  </si>
  <si>
    <t>FFB000</t>
  </si>
  <si>
    <t>MISSION CONTROL // AI</t>
  </si>
  <si>
    <t>ENGAGER LE SYSTÈME  ⚡</t>
  </si>
  <si>
    <t>Tactique • rapide • nerveux</t>
  </si>
  <si>
    <t>Une variante plus opérationnelle : vert acide, bleu électrique, commandes franches et sensation de centre de contrôle.</t>
  </si>
  <si>
    <t>03 — DEEP SPACE LAB</t>
  </si>
  <si>
    <t>Cyber Lab, mais plus spatial, profond et sophistiqué.</t>
  </si>
  <si>
    <t>IMMERSIVE — 9/10</t>
  </si>
  <si>
    <t>8B5CF6</t>
  </si>
  <si>
    <t>22D3EE</t>
  </si>
  <si>
    <t>D8FF3E</t>
  </si>
  <si>
    <t>DEEP FIELD // AI ATLAS</t>
  </si>
  <si>
    <t>VECTOR MAP  •  MODEL SPACE  •  ROUTES SYNC</t>
  </si>
  <si>
    <t>OUVRIR LE PORTAIL  ⟶</t>
  </si>
  <si>
    <t>Cosmique • expert • immersif</t>
  </si>
  <si>
    <t>Plus mystérieux et éditorial que Cyber Lab Prime. Idéal si l’Atlas doit évoquer l’exploration de territoires inconnus.</t>
  </si>
  <si>
    <t>04 — NEON MUSE</t>
  </si>
  <si>
    <t>Une identité girly, adulte, tech et parfaitement finie.</t>
  </si>
  <si>
    <t>GIRLY POWER — 9/10</t>
  </si>
  <si>
    <t>FF4FB8</t>
  </si>
  <si>
    <t>B77CFF</t>
  </si>
  <si>
    <t>58FCEC</t>
  </si>
  <si>
    <t>MUSE:// INTELLIGENCE LAB</t>
  </si>
  <si>
    <t>BRILLIANT MINDS  •  BOLD SIGNALS</t>
  </si>
  <si>
    <t>ACTIVER MA BOUSSOLE  ✦</t>
  </si>
  <si>
    <t>Audacieuse • élégante • magnétique</t>
  </si>
  <si>
    <t>Framboise néon, violet orchidée et cyan glacé. Féminin sans cliché : puissant, précis, premium et résolument contemporain.</t>
  </si>
  <si>
    <t>MON CONSEIL : CYBER LAB // PRIME COMME SOCLE — PUIS DES ACCENTS NEON MUSE POUR LES ZONES CRÉATIVES ET EXPÉRIMENTALES.</t>
  </si>
  <si>
    <t>LE SAVOIR EN MOUVEMENT  •  L’IA EN ACTION</t>
  </si>
  <si>
    <t>🔎 COMPRENDRE</t>
  </si>
  <si>
    <t>⚡ AGIR</t>
  </si>
  <si>
    <t>🧪 EXPÉRIMENTER</t>
  </si>
  <si>
    <t>🚀 PROGRESSER</t>
  </si>
  <si>
    <t>🧭 Votre besoin</t>
  </si>
  <si>
    <t>🔎 Votre recherche</t>
  </si>
  <si>
    <t>🚀 Votre recherche</t>
  </si>
  <si>
    <t>🧪 Votre besoin</t>
  </si>
  <si>
    <t>⚡ Score</t>
  </si>
  <si>
    <t>🎯 Besoin / intention</t>
  </si>
  <si>
    <t>🛠 Outil / Application</t>
  </si>
  <si>
    <t>🧪 Prompt</t>
  </si>
  <si>
    <t>📚 Source / ✅ Statut</t>
  </si>
  <si>
    <t>🌱 Découverte</t>
  </si>
  <si>
    <t>🛠 Pratique</t>
  </si>
  <si>
    <t>🧠 Avancé</t>
  </si>
  <si>
    <t>Signal de maturité</t>
  </si>
  <si>
    <t>🚀 Workflows (Frontier)</t>
  </si>
  <si>
    <t>🚀 Workforce Insight (Frontier)</t>
  </si>
  <si>
    <t>🚀 Finance (Frontier)</t>
  </si>
  <si>
    <t>🚀 Sales Development (Frontier)</t>
  </si>
  <si>
    <t>📚 Source</t>
  </si>
  <si>
    <t>✅ Décision</t>
  </si>
  <si>
    <t>1. Face à un sujet IA, tu veux d’abord…</t>
  </si>
  <si>
    <t>2. Ton résultat idéal ressemble plutôt à…</t>
  </si>
  <si>
    <t>3. Ce qui te donne envie de revenir, c’est…</t>
  </si>
  <si>
    <t>Agent du Playbook IA</t>
  </si>
  <si>
    <t>Microsoft 365 Copilot / Copilot Studio</t>
  </si>
  <si>
    <t>Guide conversationnel de l’Atlas qui révèle la couleur IA d’un lecteur, précise son niveau de maturité et transforme son intention en parcours personnalisé.</t>
  </si>
  <si>
    <t>Aide-moi à identifier ma couleur IA
Quel parcours de l’Atlas correspond à mon profil ?
Adapte le parcours à mon audience et à mon niveau de maturité</t>
  </si>
  <si>
    <t>À utiliser dès l’accueil du Playbook pour qualifier l’intention, la maturité et l’audience avant d’orienter vers les bonnes ressources.</t>
  </si>
  <si>
    <t>4. Aujourd’hui, ton prochain pas est de…</t>
  </si>
  <si>
    <t>Vos ressources conseillées</t>
  </si>
  <si>
    <t>Votre prochain défi</t>
  </si>
  <si>
    <t>VOTRE COULEUR IA NE RÉSUME PAS QUI VOUS ÊTES. ELLE ÉCLAIRE VOTRE PROCHAIN POSSIBLE.</t>
  </si>
  <si>
    <t>MODE D’EMPLOI — Cliquez sur chaque réponse en colonne B, puis choisissez une option dans la liste déroulante. Votre couleur, vos ressources et votre prochain défi se mettent à jour automatiquement.</t>
  </si>
  <si>
    <t>🧭 EXPLORER</t>
  </si>
  <si>
    <t>🎨 PRÊT À IDENTIFIER TA COULEUR IA ?</t>
  </si>
  <si>
    <t>P-025</t>
  </si>
  <si>
    <t>Renforcer un premier brouillon avec Idea Coach</t>
  </si>
  <si>
    <t>Produire un premier brouillon de présentation plus abouti</t>
  </si>
  <si>
    <t>Idea Coach / PowerPoint</t>
  </si>
  <si>
    <t>[présentation]</t>
  </si>
  <si>
    <t>Présentation en préparation</t>
  </si>
  <si>
    <t>Premier brouillon renforcé</t>
  </si>
  <si>
    <t>Agent de coaching</t>
  </si>
  <si>
    <t>Utilisateur</t>
  </si>
  <si>
    <t>Interne — réutilisation à valider</t>
  </si>
  <si>
    <t>2026-08-14T00:00:00.000Z</t>
  </si>
  <si>
    <t>Interne</t>
  </si>
  <si>
    <t>P-026</t>
  </si>
  <si>
    <t>Anticiper les questions d’un public exécutif</t>
  </si>
  <si>
    <t>Préparer les questions probables après une diapositive</t>
  </si>
  <si>
    <t>Direction / Stratégie</t>
  </si>
  <si>
    <t>[diapositive] [public]</t>
  </si>
  <si>
    <t>Présentation ouverte</t>
  </si>
  <si>
    <t>Questions probables du public</t>
  </si>
  <si>
    <t>Anticipation du public</t>
  </si>
  <si>
    <t>P-027</t>
  </si>
  <si>
    <t>Détecter un écart logique entre deux diapositives</t>
  </si>
  <si>
    <t>Renforcer la continuité narrative d’une présentation</t>
  </si>
  <si>
    <t>[diapositives]</t>
  </si>
  <si>
    <t>Diagnostic et proposition de liaison</t>
  </si>
  <si>
    <t>Analyse narrative</t>
  </si>
  <si>
    <t>P-028</t>
  </si>
  <si>
    <t>Anticiper le pushback et renforcer les preuves</t>
  </si>
  <si>
    <t>Identifier une affirmation fragile et les données nécessaires</t>
  </si>
  <si>
    <t>[présentation] [données]</t>
  </si>
  <si>
    <t>Risque de contestation et preuves recommandées</t>
  </si>
  <si>
    <t>Critique + recommandation</t>
  </si>
  <si>
    <t>P-029</t>
  </si>
  <si>
    <t>Vérifier l’arc problème-solution-résultat</t>
  </si>
  <si>
    <t>Évaluer la structure narrative d’une présentation</t>
  </si>
  <si>
    <t>Diagnostic de structure narrative</t>
  </si>
  <si>
    <t>Cadre narratif</t>
  </si>
  <si>
    <t>P-030</t>
  </si>
  <si>
    <t>Générer un visuel professionnel photoréaliste</t>
  </si>
  <si>
    <t>Créer une image de collaboration autour des données</t>
  </si>
  <si>
    <t>Génération d’images</t>
  </si>
  <si>
    <t>Communication / Marketing</t>
  </si>
  <si>
    <t>PowerPoint / Designer</t>
  </si>
  <si>
    <t>[sujet] [style] [ambiance]</t>
  </si>
  <si>
    <t>Génération d’images disponible</t>
  </si>
  <si>
    <t>Image photoréaliste exploitable</t>
  </si>
  <si>
    <t>Description visuelle détaillée</t>
  </si>
  <si>
    <t>P-031</t>
  </si>
  <si>
    <t>Résumer les modifications d’une présentation</t>
  </si>
  <si>
    <t>Obtenir une synthèse des changements apportés</t>
  </si>
  <si>
    <t>Présentation modifiée</t>
  </si>
  <si>
    <t>Résumé des modifications</t>
  </si>
  <si>
    <t>Synthèse directe</t>
  </si>
  <si>
    <t>P-032</t>
  </si>
  <si>
    <t>Générer des notes du présentateur concises</t>
  </si>
  <si>
    <t>Créer des notes à puces qui complètent les diapositives</t>
  </si>
  <si>
    <t>[présentation] [public]</t>
  </si>
  <si>
    <t>Notes du présentateur structurées</t>
  </si>
  <si>
    <t>Contraintes de format et de public</t>
  </si>
  <si>
    <t>P-033</t>
  </si>
  <si>
    <t>Rendre les notes plus conversationnelles</t>
  </si>
  <si>
    <t>Adapter le ton des notes à une réunion interne</t>
  </si>
  <si>
    <t>Management</t>
  </si>
  <si>
    <t>[diapositive] [ton]</t>
  </si>
  <si>
    <t>Notes du présentateur existantes</t>
  </si>
  <si>
    <t>Notes au ton conversationnel</t>
  </si>
  <si>
    <t>Transformation de ton</t>
  </si>
  <si>
    <t>P-034</t>
  </si>
  <si>
    <t>Renforcer l’autorité des notes pour un directeur financier</t>
  </si>
  <si>
    <t>Projeter de la confiance lors d’une présentation financière</t>
  </si>
  <si>
    <t>Finance / Direction</t>
  </si>
  <si>
    <t>Notes et chiffres de ROI disponibles</t>
  </si>
  <si>
    <t>Notes plus affirmées et crédibles</t>
  </si>
  <si>
    <t>Ton + persona</t>
  </si>
  <si>
    <t>P-035</t>
  </si>
  <si>
    <t>Condenser les notes en trois puces</t>
  </si>
  <si>
    <t>Réduire les notes pour faciliter la prise de parole</t>
  </si>
  <si>
    <t>[diapositive] [longueur]</t>
  </si>
  <si>
    <t>Trois puces concises</t>
  </si>
  <si>
    <t>Contrainte de longueur</t>
  </si>
  <si>
    <t>P-036</t>
  </si>
  <si>
    <t>Développer les notes avec le contexte APAC</t>
  </si>
  <si>
    <t>Ajouter du contexte pour répondre aux questions de suivi</t>
  </si>
  <si>
    <t>Stratégie / International</t>
  </si>
  <si>
    <t>Enrichissement</t>
  </si>
  <si>
    <t>[diapositive] [marché]</t>
  </si>
  <si>
    <t>Données de marché disponibles</t>
  </si>
  <si>
    <t>Notes enrichies et contextualisées</t>
  </si>
  <si>
    <t>Enrichissement contextuel</t>
  </si>
  <si>
    <t>P-037</t>
  </si>
  <si>
    <t>Adapter les notes à un public technique</t>
  </si>
  <si>
    <t>Réécrire les notes pour des responsables techniques</t>
  </si>
  <si>
    <t>IT / Produit</t>
  </si>
  <si>
    <t>Notes techniques détaillées</t>
  </si>
  <si>
    <t>Adaptation au public</t>
  </si>
  <si>
    <t>P-038</t>
  </si>
  <si>
    <t>Simplifier les notes pour des non-anglophones</t>
  </si>
  <si>
    <t>Rendre les notes accessibles avec une formulation simple</t>
  </si>
  <si>
    <t>International / Communication</t>
  </si>
  <si>
    <t>Notes en langage simple</t>
  </si>
  <si>
    <t>Simplification linguistique</t>
  </si>
  <si>
    <t>P-039</t>
  </si>
  <si>
    <t>Ajouter une transition entre diapositives</t>
  </si>
  <si>
    <t>Relier naturellement deux parties de la présentation</t>
  </si>
  <si>
    <t>Phrase de transition naturelle</t>
  </si>
  <si>
    <t>Signal de transition</t>
  </si>
  <si>
    <t>P-040</t>
  </si>
  <si>
    <t>Ajouter une pause et inviter aux questions</t>
  </si>
  <si>
    <t>Créer un moment d’interaction avec le public</t>
  </si>
  <si>
    <t>Pause et invitation à réagir</t>
  </si>
  <si>
    <t>Signal de présentation</t>
  </si>
  <si>
    <t>💬 VOUS PARLEZ À L’IA. MAIS QUE SAVEZ-VOUS VRAIMENT LUI DÉLÉGUER ?</t>
  </si>
  <si>
    <t>automatiser mon travail</t>
  </si>
  <si>
    <t>SIGNALS 17  •  AGENTS 25  •  STATUS ONLINE</t>
  </si>
  <si>
    <t>Recherchez par code, niveau, filière, public, objectif, compétence, priorité ou prix. Laissez le champ vide pour afficher toutes les certifications et Applied Skills recommandés.</t>
  </si>
  <si>
    <t>Exemples parmi les certifications et Applied Skills</t>
  </si>
  <si>
    <t>Atlas IA — source interne</t>
  </si>
  <si>
    <t>ID Notion</t>
  </si>
  <si>
    <t>ID Agent</t>
  </si>
  <si>
    <t>ID Titre</t>
  </si>
  <si>
    <t>N-001</t>
  </si>
  <si>
    <t>N-002</t>
  </si>
  <si>
    <t>N-003</t>
  </si>
  <si>
    <t>N-004</t>
  </si>
  <si>
    <t>N-005</t>
  </si>
  <si>
    <t>N-006</t>
  </si>
  <si>
    <t>N-007</t>
  </si>
  <si>
    <t>N-008</t>
  </si>
  <si>
    <t>N-009</t>
  </si>
  <si>
    <t>N-010</t>
  </si>
  <si>
    <t>N-011</t>
  </si>
  <si>
    <t>N-012</t>
  </si>
  <si>
    <t>N-013</t>
  </si>
  <si>
    <t>N-014</t>
  </si>
  <si>
    <t>N-015</t>
  </si>
  <si>
    <t>N-016</t>
  </si>
  <si>
    <t>N-017</t>
  </si>
  <si>
    <t>N-018</t>
  </si>
  <si>
    <t>N-019</t>
  </si>
  <si>
    <t>N-020</t>
  </si>
  <si>
    <t>N-021</t>
  </si>
  <si>
    <t>N-022</t>
  </si>
  <si>
    <t>N-023</t>
  </si>
  <si>
    <t>N-024</t>
  </si>
  <si>
    <t>N-025</t>
  </si>
  <si>
    <t>N-026</t>
  </si>
  <si>
    <t>N-027</t>
  </si>
  <si>
    <t>N-028</t>
  </si>
  <si>
    <t>N-029</t>
  </si>
  <si>
    <t>N-030</t>
  </si>
  <si>
    <t>N-031</t>
  </si>
  <si>
    <t>N-032</t>
  </si>
  <si>
    <t>N-033</t>
  </si>
  <si>
    <t>N-034</t>
  </si>
  <si>
    <t>N-035</t>
  </si>
  <si>
    <t>N-036</t>
  </si>
  <si>
    <t>N-037</t>
  </si>
  <si>
    <t>N-038</t>
  </si>
  <si>
    <t>N-039</t>
  </si>
  <si>
    <t>N-040</t>
  </si>
  <si>
    <t>N-041</t>
  </si>
  <si>
    <t>N-042</t>
  </si>
  <si>
    <t>N-043</t>
  </si>
  <si>
    <t>N-044</t>
  </si>
  <si>
    <t>N-045</t>
  </si>
  <si>
    <t>N-046</t>
  </si>
  <si>
    <t>N-047</t>
  </si>
  <si>
    <t>N-048</t>
  </si>
  <si>
    <t>N-049</t>
  </si>
  <si>
    <t>N-050</t>
  </si>
  <si>
    <t>N-051</t>
  </si>
  <si>
    <t>N-052</t>
  </si>
  <si>
    <t>N-053</t>
  </si>
  <si>
    <t>N-054</t>
  </si>
  <si>
    <t>N-055</t>
  </si>
  <si>
    <t>N-056</t>
  </si>
  <si>
    <t>N-057</t>
  </si>
  <si>
    <t>N-058</t>
  </si>
  <si>
    <t>N-059</t>
  </si>
  <si>
    <t>N-060</t>
  </si>
  <si>
    <t>N-061</t>
  </si>
  <si>
    <t>N-062</t>
  </si>
  <si>
    <t>N-063</t>
  </si>
  <si>
    <t>N-064</t>
  </si>
  <si>
    <t>N-065</t>
  </si>
  <si>
    <t>N-066</t>
  </si>
  <si>
    <t>N-067</t>
  </si>
  <si>
    <t>N-068</t>
  </si>
  <si>
    <t>N-069</t>
  </si>
  <si>
    <t>N-070</t>
  </si>
  <si>
    <t>N-071</t>
  </si>
  <si>
    <t>N-072</t>
  </si>
  <si>
    <t>N-073</t>
  </si>
  <si>
    <t>N-074</t>
  </si>
  <si>
    <t>N-075</t>
  </si>
  <si>
    <t>N-076</t>
  </si>
  <si>
    <t>N-077</t>
  </si>
  <si>
    <t>N-078</t>
  </si>
  <si>
    <t>N-079</t>
  </si>
  <si>
    <t>N-080</t>
  </si>
  <si>
    <t>N-081</t>
  </si>
  <si>
    <t>N-082</t>
  </si>
  <si>
    <t>N-083</t>
  </si>
  <si>
    <t>N-084</t>
  </si>
  <si>
    <t>N-085</t>
  </si>
  <si>
    <t>N-086</t>
  </si>
  <si>
    <t>N-087</t>
  </si>
  <si>
    <t>N-088</t>
  </si>
  <si>
    <t>N-089</t>
  </si>
  <si>
    <t>N-090</t>
  </si>
  <si>
    <t>N-091</t>
  </si>
  <si>
    <t>N-092</t>
  </si>
  <si>
    <t>N-093</t>
  </si>
  <si>
    <t>N-094</t>
  </si>
  <si>
    <t>N-095</t>
  </si>
  <si>
    <t>N-096</t>
  </si>
  <si>
    <t>N-097</t>
  </si>
  <si>
    <t>N-098</t>
  </si>
  <si>
    <t>N-099</t>
  </si>
  <si>
    <t>N-100</t>
  </si>
  <si>
    <t>N-101</t>
  </si>
  <si>
    <t>N-102</t>
  </si>
  <si>
    <t>N-103</t>
  </si>
  <si>
    <t>N-104</t>
  </si>
  <si>
    <t>N-105</t>
  </si>
  <si>
    <t>N-106</t>
  </si>
  <si>
    <t>AG-001</t>
  </si>
  <si>
    <t>AG-002</t>
  </si>
  <si>
    <t>AG-003</t>
  </si>
  <si>
    <t>AG-004</t>
  </si>
  <si>
    <t>AG-005</t>
  </si>
  <si>
    <t>AG-006</t>
  </si>
  <si>
    <t>AG-007</t>
  </si>
  <si>
    <t>AG-008</t>
  </si>
  <si>
    <t>AG-009</t>
  </si>
  <si>
    <t>AG-010</t>
  </si>
  <si>
    <t>AG-011</t>
  </si>
  <si>
    <t>AG-012</t>
  </si>
  <si>
    <t>AG-013</t>
  </si>
  <si>
    <t>AG-014</t>
  </si>
  <si>
    <t>AG-015</t>
  </si>
  <si>
    <t>AG-016</t>
  </si>
  <si>
    <t>AG-017</t>
  </si>
  <si>
    <t>AG-018</t>
  </si>
  <si>
    <t>AG-019</t>
  </si>
  <si>
    <t>AG-020</t>
  </si>
  <si>
    <t>AG-021</t>
  </si>
  <si>
    <t>AG-022</t>
  </si>
  <si>
    <t>AG-023</t>
  </si>
  <si>
    <t>AG-024</t>
  </si>
  <si>
    <t>AG-025</t>
  </si>
  <si>
    <t>CERT-001</t>
  </si>
  <si>
    <t>CERT-002</t>
  </si>
  <si>
    <t>CERT-003</t>
  </si>
  <si>
    <t>CERT-004</t>
  </si>
  <si>
    <t>CERT-005</t>
  </si>
  <si>
    <t>CERT-006</t>
  </si>
  <si>
    <t>CERT-007</t>
  </si>
  <si>
    <t>CERT-008</t>
  </si>
  <si>
    <t>Coût</t>
  </si>
  <si>
    <t>Offre / abonnement requis</t>
  </si>
  <si>
    <t>Niveau requis</t>
  </si>
  <si>
    <t>Disponibilité</t>
  </si>
  <si>
    <t>Date de vérification</t>
  </si>
  <si>
    <t>Inconnu</t>
  </si>
  <si>
    <t>Gratuit</t>
  </si>
  <si>
    <t>Inclus dans une offre</t>
  </si>
  <si>
    <t>Avancé</t>
  </si>
  <si>
    <t>À vérifier</t>
  </si>
  <si>
    <t>Disponible</t>
  </si>
  <si>
    <t>Limité / dépend de l’offre</t>
  </si>
  <si>
    <t>Inconnue</t>
  </si>
  <si>
    <t>Glossaire — Copilot Chat (N-024)</t>
  </si>
  <si>
    <t>Glossaire — Frontier (agents) (N-043)</t>
  </si>
  <si>
    <t>Glossaire — Microsoft 365 Copilot (N-064)</t>
  </si>
  <si>
    <t>Outil compatible</t>
  </si>
  <si>
    <t>Compatibilité</t>
  </si>
  <si>
    <t>Capacité principale</t>
  </si>
  <si>
    <t>Statut d’exécution</t>
  </si>
  <si>
    <t>Microsoft 365 Copilot / Excel</t>
  </si>
  <si>
    <t>Microsoft 365 Copilot / Outlook</t>
  </si>
  <si>
    <t>Microsoft 365 Copilot / Outlook / Teams</t>
  </si>
  <si>
    <t>Microsoft 365 Copilot / Teams</t>
  </si>
  <si>
    <t>Microsoft 365 Copilot / Copilot Chat / Teams</t>
  </si>
  <si>
    <t>Microsoft 365 Copilot / Copilot Chat</t>
  </si>
  <si>
    <t>Microsoft 365 Copilot / Researcher / Copilot Chat</t>
  </si>
  <si>
    <t>Microsoft 365 Copilot / PowerPoint</t>
  </si>
  <si>
    <t>Microsoft 365 Copilot / Word / Copilot Chat</t>
  </si>
  <si>
    <t>Microsoft 365 Copilot / Copilot Chat / Word</t>
  </si>
  <si>
    <t>Microsoft 365 Copilot / Idea Coach / PowerPoint</t>
  </si>
  <si>
    <t>Microsoft 365 Copilot / PowerPoint / Designer</t>
  </si>
  <si>
    <t>Analyse et visualisation de données</t>
  </si>
  <si>
    <t>Création de documents et présentations</t>
  </si>
  <si>
    <t>Synthèse et résumé</t>
  </si>
  <si>
    <t>Recherche et récupération d’information</t>
  </si>
  <si>
    <t>Extraction et structuration d’information</t>
  </si>
  <si>
    <t>Idéation et planification</t>
  </si>
  <si>
    <t>Analyse, comparaison et évaluation</t>
  </si>
  <si>
    <t>Réécriture et adaptation de contenu</t>
  </si>
  <si>
    <t>Génération et rédaction de texte</t>
  </si>
  <si>
    <t>🧰 RÉFÉRENTIEL DES OUTILS IA</t>
  </si>
  <si>
    <t>Une ligne par produit, service, plateforme, API ou framework explicitement référencé dans l’Atlas. Métadonnées externes non vérifiées laissées inconnues.</t>
  </si>
  <si>
    <t>ID Outil</t>
  </si>
  <si>
    <t>Nom de l’outil</t>
  </si>
  <si>
    <t>Éditeur</t>
  </si>
  <si>
    <t>Type d’outil</t>
  </si>
  <si>
    <t>Capacités principales</t>
  </si>
  <si>
    <t>OUT-001</t>
  </si>
  <si>
    <t>Chat IA</t>
  </si>
  <si>
    <t>Conversation et questions-réponses</t>
  </si>
  <si>
    <t>Sans licence Microsoft 365 Copilot</t>
  </si>
  <si>
    <t>Glossaire (N-024) ; Usages &amp; Solutions</t>
  </si>
  <si>
    <t>Référencé</t>
  </si>
  <si>
    <t>OUT-002</t>
  </si>
  <si>
    <t>Assistance au travail quotidien</t>
  </si>
  <si>
    <t>Licence Microsoft 365 Copilot</t>
  </si>
  <si>
    <t>Glossaire (N-064) ; Usages &amp; Solutions</t>
  </si>
  <si>
    <t>OUT-003</t>
  </si>
  <si>
    <t>Studio low-code</t>
  </si>
  <si>
    <t>Création et orchestration d’agents ; Automatisation et exécution d’actions</t>
  </si>
  <si>
    <t>Glossaire (N-027) ; Usages &amp; Solutions</t>
  </si>
  <si>
    <t>OUT-004</t>
  </si>
  <si>
    <t>Copilot Agent Builder</t>
  </si>
  <si>
    <t>Agent Builder no-code</t>
  </si>
  <si>
    <t>Création et orchestration d’agents</t>
  </si>
  <si>
    <t>Usages &amp; Solutions</t>
  </si>
  <si>
    <t>OUT-005</t>
  </si>
  <si>
    <t>Microsoft Foundry / Azure AI</t>
  </si>
  <si>
    <t>Plateforme de développement d’agents</t>
  </si>
  <si>
    <t>OUT-006</t>
  </si>
  <si>
    <t>Glossaire (N-012)</t>
  </si>
  <si>
    <t>OUT-007</t>
  </si>
  <si>
    <t>Automatisation des flux</t>
  </si>
  <si>
    <t>Automatisation et exécution d’actions</t>
  </si>
  <si>
    <t>Glossaire (N-078) ; Usages &amp; Solutions ; Agents</t>
  </si>
  <si>
    <t>OUT-008</t>
  </si>
  <si>
    <t>Power Apps</t>
  </si>
  <si>
    <t>Certifications</t>
  </si>
  <si>
    <t>OUT-009</t>
  </si>
  <si>
    <t>Base de données / Stockage</t>
  </si>
  <si>
    <t>Glossaire (N-032) ; Usages &amp; Solutions ; Certifications</t>
  </si>
  <si>
    <t>OUT-010</t>
  </si>
  <si>
    <t>Gestion documentaire / GED</t>
  </si>
  <si>
    <t>Usages &amp; Solutions ; Agents</t>
  </si>
  <si>
    <t>OUT-011</t>
  </si>
  <si>
    <t>Microsoft Teams</t>
  </si>
  <si>
    <t>Collaboration / Communication</t>
  </si>
  <si>
    <t>Usages &amp; Solutions ; Agents ; Bibliothèque prompts</t>
  </si>
  <si>
    <t>OUT-012</t>
  </si>
  <si>
    <t>GitHub Copilot</t>
  </si>
  <si>
    <t>Code / Développement</t>
  </si>
  <si>
    <t>Assistance au développement logiciel</t>
  </si>
  <si>
    <t>OUT-013</t>
  </si>
  <si>
    <t>Azure AI Search</t>
  </si>
  <si>
    <t>Recherche / RAG</t>
  </si>
  <si>
    <t>OUT-014</t>
  </si>
  <si>
    <t>Power BI</t>
  </si>
  <si>
    <t>Analyse de données / BI</t>
  </si>
  <si>
    <t>Usages &amp; Solutions ; Agents ; Certifications</t>
  </si>
  <si>
    <t>OUT-015</t>
  </si>
  <si>
    <t>Microsoft Excel</t>
  </si>
  <si>
    <t>OUT-016</t>
  </si>
  <si>
    <t>Microsoft Designer</t>
  </si>
  <si>
    <t>Usages &amp; Solutions ; Bibliothèque prompts</t>
  </si>
  <si>
    <t>OUT-017</t>
  </si>
  <si>
    <t>Microsoft PowerPoint</t>
  </si>
  <si>
    <t>Agents ; Bibliothèque prompts</t>
  </si>
  <si>
    <t>OUT-018</t>
  </si>
  <si>
    <t>Microsoft Word</t>
  </si>
  <si>
    <t>OUT-019</t>
  </si>
  <si>
    <t>Agents</t>
  </si>
  <si>
    <t>OUT-020</t>
  </si>
  <si>
    <t>OUT-021</t>
  </si>
  <si>
    <t>OUT-022</t>
  </si>
  <si>
    <t>OUT-023</t>
  </si>
  <si>
    <t>Glossaire (N-065) ; Agents</t>
  </si>
  <si>
    <t>OUT-024</t>
  </si>
  <si>
    <t>OUT-025</t>
  </si>
  <si>
    <t>Dynamics 365 Customer Service</t>
  </si>
  <si>
    <t>OUT-026</t>
  </si>
  <si>
    <t>OUT-027</t>
  </si>
  <si>
    <t>Microsoft Viva</t>
  </si>
  <si>
    <t>OUT-028</t>
  </si>
  <si>
    <t>OUT-029</t>
  </si>
  <si>
    <t>Sécurité / Gouvernance IA</t>
  </si>
  <si>
    <t>OUT-030</t>
  </si>
  <si>
    <t>Microsoft Purview</t>
  </si>
  <si>
    <t>Glossaire ; Usages &amp; Solutions</t>
  </si>
  <si>
    <t>OUT-031</t>
  </si>
  <si>
    <t>Microsoft Entra</t>
  </si>
  <si>
    <t>OUT-032</t>
  </si>
  <si>
    <t>Microsoft Loop</t>
  </si>
  <si>
    <t>Glossaire (N-060)</t>
  </si>
  <si>
    <t>OUT-033</t>
  </si>
  <si>
    <t>Glossaire (N-066)</t>
  </si>
  <si>
    <t>OUT-034</t>
  </si>
  <si>
    <t>Glossaire (N-090) ; Usages &amp; Solutions</t>
  </si>
  <si>
    <t>OUT-035</t>
  </si>
  <si>
    <t>Microsoft Copilot SDK</t>
  </si>
  <si>
    <t>OUT-036</t>
  </si>
  <si>
    <t>Claude</t>
  </si>
  <si>
    <t>OUT-037</t>
  </si>
  <si>
    <t>Claude Code</t>
  </si>
  <si>
    <t>OUT-038</t>
  </si>
  <si>
    <t>Claude API</t>
  </si>
  <si>
    <t>OUT-039</t>
  </si>
  <si>
    <t>Claude SDK</t>
  </si>
  <si>
    <t>OUT-040</t>
  </si>
  <si>
    <t>Claude Admin Console</t>
  </si>
  <si>
    <t>OUT-041</t>
  </si>
  <si>
    <t>ChatGPT</t>
  </si>
  <si>
    <t>OUT-042</t>
  </si>
  <si>
    <t>OpenAI API</t>
  </si>
  <si>
    <t>OUT-043</t>
  </si>
  <si>
    <t>OpenAI Responses API</t>
  </si>
  <si>
    <t>OUT-044</t>
  </si>
  <si>
    <t>OpenAI Agents SDK</t>
  </si>
  <si>
    <t>OUT-045</t>
  </si>
  <si>
    <t>OpenAI Codex</t>
  </si>
  <si>
    <t>OUT-046</t>
  </si>
  <si>
    <t>Whisper API</t>
  </si>
  <si>
    <t>Transcription / Réunions</t>
  </si>
  <si>
    <t>Transcription et traitement de l’audio</t>
  </si>
  <si>
    <t>OUT-047</t>
  </si>
  <si>
    <t>Gemini</t>
  </si>
  <si>
    <t>Google</t>
  </si>
  <si>
    <t>OUT-048</t>
  </si>
  <si>
    <t>Vertex AI</t>
  </si>
  <si>
    <t>OUT-049</t>
  </si>
  <si>
    <t>Google AI Studio</t>
  </si>
  <si>
    <t>OUT-050</t>
  </si>
  <si>
    <t>Vertex AI Agent Builder</t>
  </si>
  <si>
    <t>OUT-051</t>
  </si>
  <si>
    <t>BigQuery</t>
  </si>
  <si>
    <t>OUT-052</t>
  </si>
  <si>
    <t>Google Drive</t>
  </si>
  <si>
    <t>OUT-053</t>
  </si>
  <si>
    <t>Google Chat</t>
  </si>
  <si>
    <t>OUT-054</t>
  </si>
  <si>
    <t>Google Meet</t>
  </si>
  <si>
    <t>OUT-055</t>
  </si>
  <si>
    <t>Gemini Code Assist</t>
  </si>
  <si>
    <t>OUT-056</t>
  </si>
  <si>
    <t>Vertex AI Search</t>
  </si>
  <si>
    <t>OUT-057</t>
  </si>
  <si>
    <t>Looker</t>
  </si>
  <si>
    <t>OUT-058</t>
  </si>
  <si>
    <t>Vertex AI Governance</t>
  </si>
  <si>
    <t>OUT-059</t>
  </si>
  <si>
    <t>Perplexity Assistant</t>
  </si>
  <si>
    <t>Perplexity</t>
  </si>
  <si>
    <t>Conversation et questions-réponses ; Recherche et récupération d’information</t>
  </si>
  <si>
    <t>OUT-060</t>
  </si>
  <si>
    <t>Sonar API</t>
  </si>
  <si>
    <t>OUT-061</t>
  </si>
  <si>
    <t>Einstein Copilot</t>
  </si>
  <si>
    <t>Salesforce</t>
  </si>
  <si>
    <t>OUT-062</t>
  </si>
  <si>
    <t>Agentforce</t>
  </si>
  <si>
    <t>OUT-063</t>
  </si>
  <si>
    <t>Salesforce Data Cloud</t>
  </si>
  <si>
    <t>OUT-064</t>
  </si>
  <si>
    <t>Salesforce Flow Builder</t>
  </si>
  <si>
    <t>OUT-065</t>
  </si>
  <si>
    <t>Salesforce Files</t>
  </si>
  <si>
    <t>OUT-066</t>
  </si>
  <si>
    <t>Slack</t>
  </si>
  <si>
    <t>OUT-067</t>
  </si>
  <si>
    <t>Einstein Search</t>
  </si>
  <si>
    <t>OUT-068</t>
  </si>
  <si>
    <t>Tableau AI</t>
  </si>
  <si>
    <t>OUT-069</t>
  </si>
  <si>
    <t>Salesforce Shield</t>
  </si>
  <si>
    <t>OUT-070</t>
  </si>
  <si>
    <t>Einstein Trust</t>
  </si>
  <si>
    <t>OUT-071</t>
  </si>
  <si>
    <t>Now Assist</t>
  </si>
  <si>
    <t>ServiceNow</t>
  </si>
  <si>
    <t>OUT-072</t>
  </si>
  <si>
    <t>ServiceNow AI Agent Studio</t>
  </si>
  <si>
    <t>OUT-073</t>
  </si>
  <si>
    <t>ServiceNow Flow Designer</t>
  </si>
  <si>
    <t>OUT-074</t>
  </si>
  <si>
    <t>Now Platform Tables</t>
  </si>
  <si>
    <t>OUT-075</t>
  </si>
  <si>
    <t>Now Assist Search</t>
  </si>
  <si>
    <t>OUT-076</t>
  </si>
  <si>
    <t>Now Assist Analytics</t>
  </si>
  <si>
    <t>OUT-077</t>
  </si>
  <si>
    <t>Joule</t>
  </si>
  <si>
    <t>SAP</t>
  </si>
  <si>
    <t>OUT-078</t>
  </si>
  <si>
    <t>SAP AI Core</t>
  </si>
  <si>
    <t>OUT-079</t>
  </si>
  <si>
    <t>SAP Build Process Automation</t>
  </si>
  <si>
    <t>OUT-080</t>
  </si>
  <si>
    <t>SAP HANA</t>
  </si>
  <si>
    <t>OUT-081</t>
  </si>
  <si>
    <t>SAP Document Management</t>
  </si>
  <si>
    <t>OUT-082</t>
  </si>
  <si>
    <t>SAP Jam</t>
  </si>
  <si>
    <t>OUT-083</t>
  </si>
  <si>
    <t>SAP Business AI Search</t>
  </si>
  <si>
    <t>OUT-084</t>
  </si>
  <si>
    <t>SAP Analytics Cloud</t>
  </si>
  <si>
    <t>OUT-085</t>
  </si>
  <si>
    <t>Oracle AI Digital Assistant</t>
  </si>
  <si>
    <t>Oracle</t>
  </si>
  <si>
    <t>OUT-086</t>
  </si>
  <si>
    <t>OCI Generative AI</t>
  </si>
  <si>
    <t>OUT-087</t>
  </si>
  <si>
    <t>Oracle Integration Cloud</t>
  </si>
  <si>
    <t>OUT-088</t>
  </si>
  <si>
    <t>Oracle Database</t>
  </si>
  <si>
    <t>OUT-089</t>
  </si>
  <si>
    <t>Oracle Content Management</t>
  </si>
  <si>
    <t>OUT-090</t>
  </si>
  <si>
    <t>Oracle AI Vector Search</t>
  </si>
  <si>
    <t>OUT-091</t>
  </si>
  <si>
    <t>Oracle Analytics</t>
  </si>
  <si>
    <t>OUT-092</t>
  </si>
  <si>
    <t>Atlassian Rovo</t>
  </si>
  <si>
    <t>Atlassian</t>
  </si>
  <si>
    <t>OUT-093</t>
  </si>
  <si>
    <t>Atlassian Intelligence</t>
  </si>
  <si>
    <t>OUT-094</t>
  </si>
  <si>
    <t>Jira</t>
  </si>
  <si>
    <t>OUT-095</t>
  </si>
  <si>
    <t>Confluence</t>
  </si>
  <si>
    <t>OUT-096</t>
  </si>
  <si>
    <t>Automation for Jira</t>
  </si>
  <si>
    <t>OUT-097</t>
  </si>
  <si>
    <t>Atlassian Guard</t>
  </si>
  <si>
    <t>OUT-098</t>
  </si>
  <si>
    <t>Amazon Q</t>
  </si>
  <si>
    <t>Amazon</t>
  </si>
  <si>
    <t>OUT-099</t>
  </si>
  <si>
    <t>Amazon Bedrock</t>
  </si>
  <si>
    <t>OUT-100</t>
  </si>
  <si>
    <t>Amazon SageMaker</t>
  </si>
  <si>
    <t>OUT-101</t>
  </si>
  <si>
    <t>AWS Step Functions</t>
  </si>
  <si>
    <t>OUT-102</t>
  </si>
  <si>
    <t>Amazon DynamoDB</t>
  </si>
  <si>
    <t>OUT-103</t>
  </si>
  <si>
    <t>Amazon S3</t>
  </si>
  <si>
    <t>OUT-104</t>
  </si>
  <si>
    <t>Amazon Chime</t>
  </si>
  <si>
    <t>OUT-105</t>
  </si>
  <si>
    <t>Amazon Q Developer</t>
  </si>
  <si>
    <t>OUT-106</t>
  </si>
  <si>
    <t>Amazon Kendra</t>
  </si>
  <si>
    <t>OUT-107</t>
  </si>
  <si>
    <t>Amazon QuickSight Q</t>
  </si>
  <si>
    <t>OUT-108</t>
  </si>
  <si>
    <t>Amazon Bedrock Guardrails</t>
  </si>
  <si>
    <t>OUT-109</t>
  </si>
  <si>
    <t>Amazon Transcribe</t>
  </si>
  <si>
    <t>OUT-110</t>
  </si>
  <si>
    <t>watsonx.ai</t>
  </si>
  <si>
    <t>IBM</t>
  </si>
  <si>
    <t>OUT-111</t>
  </si>
  <si>
    <t>watsonx.data</t>
  </si>
  <si>
    <t>OUT-112</t>
  </si>
  <si>
    <t>watsonx.governance</t>
  </si>
  <si>
    <t>OUT-113</t>
  </si>
  <si>
    <t>watsonx Orchestrate</t>
  </si>
  <si>
    <t>OUT-114</t>
  </si>
  <si>
    <t>watsonx Assistant</t>
  </si>
  <si>
    <t>OUT-115</t>
  </si>
  <si>
    <t>IBM Db2</t>
  </si>
  <si>
    <t>OUT-116</t>
  </si>
  <si>
    <t>IBM FileNet</t>
  </si>
  <si>
    <t>OUT-117</t>
  </si>
  <si>
    <t>watsonx Code Assistant</t>
  </si>
  <si>
    <t>OUT-118</t>
  </si>
  <si>
    <t>watsonx Discovery</t>
  </si>
  <si>
    <t>OUT-119</t>
  </si>
  <si>
    <t>watsonx Speech to Text</t>
  </si>
  <si>
    <t>OUT-120</t>
  </si>
  <si>
    <t>Meta AI</t>
  </si>
  <si>
    <t>Meta</t>
  </si>
  <si>
    <t>OUT-121</t>
  </si>
  <si>
    <t>Llama Stack</t>
  </si>
  <si>
    <t>OUT-122</t>
  </si>
  <si>
    <t>Le Chat</t>
  </si>
  <si>
    <t>Mistral AI</t>
  </si>
  <si>
    <t>OUT-123</t>
  </si>
  <si>
    <t>La Plateforme / API</t>
  </si>
  <si>
    <t>OUT-124</t>
  </si>
  <si>
    <t>Coral</t>
  </si>
  <si>
    <t>Cohere</t>
  </si>
  <si>
    <t>OUT-125</t>
  </si>
  <si>
    <t>Command API</t>
  </si>
  <si>
    <t>OUT-126</t>
  </si>
  <si>
    <t>Cohere Rerank</t>
  </si>
  <si>
    <t>OUT-127</t>
  </si>
  <si>
    <t>HuggingChat</t>
  </si>
  <si>
    <t>OUT-128</t>
  </si>
  <si>
    <t>Hugging Face Hub</t>
  </si>
  <si>
    <t>Glossaire (N-049) ; Usages &amp; Solutions</t>
  </si>
  <si>
    <t>OUT-129</t>
  </si>
  <si>
    <t>Hugging Face Spaces</t>
  </si>
  <si>
    <t>OUT-130</t>
  </si>
  <si>
    <t>Hugging Face Transformers / Inference API</t>
  </si>
  <si>
    <t>OUT-131</t>
  </si>
  <si>
    <t>Hugging Face Inference Endpoints</t>
  </si>
  <si>
    <t>OUT-132</t>
  </si>
  <si>
    <t>n8n</t>
  </si>
  <si>
    <t>Glossaire (N-070) ; Usages &amp; Solutions</t>
  </si>
  <si>
    <t>OUT-133</t>
  </si>
  <si>
    <t>Make</t>
  </si>
  <si>
    <t>OUT-134</t>
  </si>
  <si>
    <t>Zapier</t>
  </si>
  <si>
    <t>OUT-135</t>
  </si>
  <si>
    <t>Zapier Chatbots</t>
  </si>
  <si>
    <t>OUT-136</t>
  </si>
  <si>
    <t>Zapier Tables</t>
  </si>
  <si>
    <t>OUT-137</t>
  </si>
  <si>
    <t>Glossaire (N-056)</t>
  </si>
  <si>
    <t>OUT-138</t>
  </si>
  <si>
    <t>Glossaire (N-057)</t>
  </si>
  <si>
    <t>Environnement / écosystème</t>
  </si>
  <si>
    <t>Microsoft 365 / Copilot</t>
  </si>
  <si>
    <t>Conversation et questions-réponses ; Réécriture et adaptation de contenu ; Synthèse et résumé ; Recherche et récupération d’information ; Analyse, comparaison et évaluation ; Idéation et planification</t>
  </si>
  <si>
    <t>Conversation et questions-réponses ; Génération et rédaction de texte ; Réécriture et adaptation de contenu ; Synthèse et résumé ; Recherche et récupération d’information ; Extraction et structuration d’information ; Analyse, comparaison et évaluation ; Analyse et visualisation de données ; Création de documents et présentations ; Génération d’images ; Idéation et planification</t>
  </si>
  <si>
    <t>Recherche et récupération d’information ; Extraction et structuration d’information ; Création de documents et présentations</t>
  </si>
  <si>
    <t>Conversation et questions-réponses ; Synthèse et résumé ; Recherche et récupération d’information ; Extraction et structuration d’information ; Idéation et planification</t>
  </si>
  <si>
    <t>Analyse et visualisation de données ; Création de documents et présentations ; Automatisation et exécution d’actions</t>
  </si>
  <si>
    <t>Génération et rédaction de texte ; Réécriture et adaptation de contenu ; Synthèse et résumé ; Analyse, comparaison et évaluation ; Création de documents et présentations ; Génération d’images ; Idéation et planification</t>
  </si>
  <si>
    <t>Génération et rédaction de texte ; Réécriture et adaptation de contenu ; Synthèse et résumé ; Analyse, comparaison et évaluation ; Création de documents et présentations</t>
  </si>
  <si>
    <t>Recherche et récupération d’information ; Idéation et planification</t>
  </si>
  <si>
    <t>Extraction et structuration d’information ; Analyse, comparaison et évaluation ; Création de documents et présentations</t>
  </si>
  <si>
    <t>Synthèse et résumé ; Analyse, comparaison et évaluation</t>
  </si>
  <si>
    <t>Synthèse et résumé ; Recherche et récupération d’information ; Analyse, comparaison et évaluation</t>
  </si>
  <si>
    <t>Analyse, comparaison et évaluation ; Analyse et visualisation de données ; Création de documents et présentations</t>
  </si>
  <si>
    <t>Génération et rédaction de texte ; Réécriture et adaptation de contenu ; Synthèse et résumé ; Extraction et structuration d’information ; Création de documents et présentations</t>
  </si>
  <si>
    <t>Conversation et questions-réponses ; Analyse, comparaison et évaluation</t>
  </si>
  <si>
    <t>Conversation et questions-réponses ; Analyse et visualisation de données ; Génération d’images</t>
  </si>
  <si>
    <t>Conversation et questions-réponses ; Génération d’images</t>
  </si>
  <si>
    <t>Objectif</t>
  </si>
  <si>
    <t>Résultat concret</t>
  </si>
  <si>
    <t>Capacité secondaire</t>
  </si>
  <si>
    <t>Action 1</t>
  </si>
  <si>
    <t>Action 2</t>
  </si>
  <si>
    <t>Action 3</t>
  </si>
  <si>
    <t>Trouver ou comprendre une information</t>
  </si>
  <si>
    <t>Retrouver des informations dans mes fichiers ou messages</t>
  </si>
  <si>
    <t>Rechercher les sources pertinentes</t>
  </si>
  <si>
    <t>Ouvrir les éléments les plus utiles</t>
  </si>
  <si>
    <t>Organiser les informations retrouvées</t>
  </si>
  <si>
    <t>Faire une recherche approfondie</t>
  </si>
  <si>
    <t>Définir le périmètre de recherche</t>
  </si>
  <si>
    <t>Croiser plusieurs sources</t>
  </si>
  <si>
    <t>Identifier les points certains et incertains</t>
  </si>
  <si>
    <t>Comprendre une notion ou un acronyme</t>
  </si>
  <si>
    <t>Demander une explication simple</t>
  </si>
  <si>
    <t>Consulter la définition du Glossaire</t>
  </si>
  <si>
    <t>Poser une question de clarification</t>
  </si>
  <si>
    <t>Identifier l’information pertinente dans plusieurs sources</t>
  </si>
  <si>
    <t>Repérer les sources utiles</t>
  </si>
  <si>
    <t>Extraire les éléments recherchés</t>
  </si>
  <si>
    <t>Classer les résultats par thème</t>
  </si>
  <si>
    <t>Rédiger ou améliorer un contenu</t>
  </si>
  <si>
    <t>Produire un premier brouillon</t>
  </si>
  <si>
    <t>Définir le public et l’objectif</t>
  </si>
  <si>
    <t>Générer un premier texte</t>
  </si>
  <si>
    <t>Relire et préciser les attentes</t>
  </si>
  <si>
    <t>Résumer la demande reçue</t>
  </si>
  <si>
    <t>Rédiger une réponse claire</t>
  </si>
  <si>
    <t>Adapter le ton et la longueur</t>
  </si>
  <si>
    <t>Reformuler ou simplifier un texte</t>
  </si>
  <si>
    <t>Identifier le message à préserver</t>
  </si>
  <si>
    <t>Simplifier la formulation</t>
  </si>
  <si>
    <t>Contrôler que le sens reste intact</t>
  </si>
  <si>
    <t>Adapter le ton ou le contenu à un public</t>
  </si>
  <si>
    <t>Préciser le public cible</t>
  </si>
  <si>
    <t>Adapter le vocabulaire et le ton</t>
  </si>
  <si>
    <t>Vérifier la clarté du résultat</t>
  </si>
  <si>
    <t>Améliorer la clarté et la cohérence</t>
  </si>
  <si>
    <t>Diagnostiquer les passages faibles</t>
  </si>
  <si>
    <t>Réorganiser le contenu</t>
  </si>
  <si>
    <t>Produire une version plus claire</t>
  </si>
  <si>
    <t>Résumer ou organiser des informations</t>
  </si>
  <si>
    <t>Identifier les idées essentielles</t>
  </si>
  <si>
    <t>Produire un résumé concis</t>
  </si>
  <si>
    <t>Séparer faits, décisions et actions</t>
  </si>
  <si>
    <t>Résumer des e-mails ou une réunion</t>
  </si>
  <si>
    <t>Regrouper les sujets importants</t>
  </si>
  <si>
    <t>Résumer les échanges</t>
  </si>
  <si>
    <t>Faire ressortir décisions et actions</t>
  </si>
  <si>
    <t>Extraire les actions, décisions ou questions</t>
  </si>
  <si>
    <t>Repérer chaque action ou décision</t>
  </si>
  <si>
    <t>Attribuer propriétaires et échéances</t>
  </si>
  <si>
    <t>Lister les questions non résolues</t>
  </si>
  <si>
    <t>Trier et structurer des informations</t>
  </si>
  <si>
    <t>Définir les catégories utiles</t>
  </si>
  <si>
    <t>Classer chaque élément</t>
  </si>
  <si>
    <t>Présenter le résultat en tableau ou liste</t>
  </si>
  <si>
    <t>Analyser, comparer ou décider</t>
  </si>
  <si>
    <t>Analyser des données</t>
  </si>
  <si>
    <t>Contrôler la structure des données</t>
  </si>
  <si>
    <t>Calculer les indicateurs utiles</t>
  </si>
  <si>
    <t>Visualiser tendances et écarts</t>
  </si>
  <si>
    <t>Comparer plusieurs documents ou options</t>
  </si>
  <si>
    <t>Définir les critères de comparaison</t>
  </si>
  <si>
    <t>Identifier différences et contradictions</t>
  </si>
  <si>
    <t>Formuler une conclusion</t>
  </si>
  <si>
    <t>Détecter des tendances ou anomalies</t>
  </si>
  <si>
    <t>Repérer les évolutions majeures</t>
  </si>
  <si>
    <t>Identifier les valeurs inhabituelles</t>
  </si>
  <si>
    <t>Proposer des pistes de vérification</t>
  </si>
  <si>
    <t>Évaluer une solution</t>
  </si>
  <si>
    <t>Définir les critères de décision</t>
  </si>
  <si>
    <t>Évaluer bénéfices, risques et contraintes</t>
  </si>
  <si>
    <t>Préparer une recommandation</t>
  </si>
  <si>
    <t>Tester une hypothèse</t>
  </si>
  <si>
    <t>Définir l’hypothèse et la métrique</t>
  </si>
  <si>
    <t>Mesurer l’impact du changement</t>
  </si>
  <si>
    <t>Interpréter la sensibilité</t>
  </si>
  <si>
    <t>Créer un document, une présentation ou un visuel</t>
  </si>
  <si>
    <t>Créer une présentation</t>
  </si>
  <si>
    <t>Définir le message central</t>
  </si>
  <si>
    <t>Construire la trame des diapositives</t>
  </si>
  <si>
    <t>Créer les contenus et notes utiles</t>
  </si>
  <si>
    <t>Créer un document ou un classeur</t>
  </si>
  <si>
    <t>Définir la structure du livrable</t>
  </si>
  <si>
    <t>Créer les sections ou feuilles</t>
  </si>
  <si>
    <t>Compléter les contenus essentiels</t>
  </si>
  <si>
    <t>Créer un formulaire ou une page</t>
  </si>
  <si>
    <t>Définir les informations à recueillir</t>
  </si>
  <si>
    <t>Structurer les champs ou sections</t>
  </si>
  <si>
    <t>Tester la lisibilité du livrable</t>
  </si>
  <si>
    <t>Générer une image</t>
  </si>
  <si>
    <t>Décrire le sujet et le style</t>
  </si>
  <si>
    <t>Préciser la composition souhaitée</t>
  </si>
  <si>
    <t>Générer puis ajuster le visuel</t>
  </si>
  <si>
    <t>Trouver des idées ou construire un plan</t>
  </si>
  <si>
    <t>Organiser un brainstorming</t>
  </si>
  <si>
    <t>Définir le thème et les contraintes</t>
  </si>
  <si>
    <t>Générer plusieurs pistes</t>
  </si>
  <si>
    <t>Regrouper les idées par priorité</t>
  </si>
  <si>
    <t>Construire un plan d’action</t>
  </si>
  <si>
    <t>Définir le résultat attendu</t>
  </si>
  <si>
    <t>Découper en étapes et responsables</t>
  </si>
  <si>
    <t>Prioriser les prochaines actions</t>
  </si>
  <si>
    <t>Préparer un lancement ou un projet</t>
  </si>
  <si>
    <t>Clarifier objectifs et publics</t>
  </si>
  <si>
    <t>Définir jalons, risques et responsables</t>
  </si>
  <si>
    <t>Choisir les indicateurs de succès</t>
  </si>
  <si>
    <t>Planifier mon apprentissage</t>
  </si>
  <si>
    <t>Définir la compétence cible</t>
  </si>
  <si>
    <t>Choisir les ressources pertinentes</t>
  </si>
  <si>
    <t>Planifier les premières sessions</t>
  </si>
  <si>
    <t>Automatiser ou déléguer une tâche</t>
  </si>
  <si>
    <t>Automatiser une tâche répétitive</t>
  </si>
  <si>
    <t>Décrire le déclencheur</t>
  </si>
  <si>
    <t>Définir les étapes répétitives</t>
  </si>
  <si>
    <t>Tester le flux sur un cas simple</t>
  </si>
  <si>
    <t>Créer un workflow</t>
  </si>
  <si>
    <t>Identifier entrée, règles et sortie</t>
  </si>
  <si>
    <t>Connecter les applications nécessaires</t>
  </si>
  <si>
    <t>Tester les erreurs et exceptions</t>
  </si>
  <si>
    <t>Déléguer une mission multiétape</t>
  </si>
  <si>
    <t>Définir l’objectif et les limites</t>
  </si>
  <si>
    <t>Choisir les outils et sources autorisés</t>
  </si>
  <si>
    <t>Prévoir un contrôle humain</t>
  </si>
  <si>
    <t>Déclencher des actions entre plusieurs outils</t>
  </si>
  <si>
    <t>Identifier les applications concernées</t>
  </si>
  <si>
    <t>Définir les déclencheurs et actions</t>
  </si>
  <si>
    <t>Contrôler les autorisations</t>
  </si>
  <si>
    <t>Créer un agent ou développer une solution</t>
  </si>
  <si>
    <t>Créer un agent sans code</t>
  </si>
  <si>
    <t>Définir le rôle de l’agent</t>
  </si>
  <si>
    <t>Ajouter instructions et connaissances</t>
  </si>
  <si>
    <t>Tester avant le partage</t>
  </si>
  <si>
    <t>Connecter un agent à des données ou des actions</t>
  </si>
  <si>
    <t>Identifier les sources autorisées</t>
  </si>
  <si>
    <t>Configurer les outils et actions</t>
  </si>
  <si>
    <t>Tester permissions et erreurs</t>
  </si>
  <si>
    <t>Développer une solution avec du code</t>
  </si>
  <si>
    <t>Définir l’architecture minimale</t>
  </si>
  <si>
    <t>Construire un premier prototype</t>
  </si>
  <si>
    <t>Tester et documenter le code</t>
  </si>
  <si>
    <t>Obtenir de l’aide pour écrire ou corriger du code</t>
  </si>
  <si>
    <t>Décrire le contexte technique</t>
  </si>
  <si>
    <t>Générer ou expliquer le code</t>
  </si>
  <si>
    <t>Tester avant intégration</t>
  </si>
  <si>
    <t>Apprendre et monter en compétences</t>
  </si>
  <si>
    <t>Comprendre les fondamentaux</t>
  </si>
  <si>
    <t>Choisir une notion de départ</t>
  </si>
  <si>
    <t>Demander une explication sans jargon</t>
  </si>
  <si>
    <t>Vérifier avec le Glossaire</t>
  </si>
  <si>
    <t>Apprendre à utiliser les prompts</t>
  </si>
  <si>
    <t>Comprendre objectif, contexte et attentes</t>
  </si>
  <si>
    <t>Adapter un prompt existant</t>
  </si>
  <si>
    <t>Tester et documenter le résultat</t>
  </si>
  <si>
    <t>Apprendre à créer des agents</t>
  </si>
  <si>
    <t>Comprendre rôle, outils et connaissances</t>
  </si>
  <si>
    <t>Créer un agent simple</t>
  </si>
  <si>
    <t>Tester avec supervision humaine</t>
  </si>
  <si>
    <t>Choisir une certification</t>
  </si>
  <si>
    <t>Clarifier l’objectif professionnel</t>
  </si>
  <si>
    <t>Comparer niveaux et prérequis</t>
  </si>
  <si>
    <t>Choisir une première étape réaliste</t>
  </si>
  <si>
    <t>Construire un parcours personnalisé</t>
  </si>
  <si>
    <t>Identifier le niveau de départ</t>
  </si>
  <si>
    <t>Choisir les compétences prioritaires</t>
  </si>
  <si>
    <t>Planifier les prochaines étapes</t>
  </si>
  <si>
    <t>Capacité</t>
  </si>
  <si>
    <t>Formulation utilisateur</t>
  </si>
  <si>
    <t>ID Certification</t>
  </si>
  <si>
    <t>Notion 1</t>
  </si>
  <si>
    <t>Notion 2</t>
  </si>
  <si>
    <t>Notion 3</t>
  </si>
  <si>
    <t>Poser tes questions et obtenir des explications adaptées.</t>
  </si>
  <si>
    <t>Créer un nouveau texte à partir de ton objectif et de ton contexte.</t>
  </si>
  <si>
    <t>Transformer un contenu existant pour l’adapter au ton, au public ou au format.</t>
  </si>
  <si>
    <t>Réduire un contenu pour faire ressortir l’essentiel.</t>
  </si>
  <si>
    <t>Retrouver les informations pertinentes dans les sources disponibles.</t>
  </si>
  <si>
    <t>Repérer des éléments précis et les organiser dans une structure exploitable.</t>
  </si>
  <si>
    <t>Examiner plusieurs éléments pour identifier différences, risques et conclusions.</t>
  </si>
  <si>
    <t>Explorer des données structurées, calculer des indicateurs et visualiser les résultats.</t>
  </si>
  <si>
    <t>Produire un livrable structuré : document, classeur, formulaire ou présentation.</t>
  </si>
  <si>
    <t>Créer un visuel à partir d’une instruction.</t>
  </si>
  <si>
    <t>Transformer un contenu audio en texte exploitable.</t>
  </si>
  <si>
    <t>Gén��rer des idées puis les organiser en étapes et priorités.</t>
  </si>
  <si>
    <t>Aider à écrire, comprendre, tester ou corriger du code.</t>
  </si>
  <si>
    <t>Déclencher et enchaîner automatiquement des tâches dans plusieurs outils.</t>
  </si>
  <si>
    <t>Concevoir et coordonner des agents orientés vers un objectif.</t>
  </si>
  <si>
    <t>Liste Q2 dynamique</t>
  </si>
  <si>
    <t>Q1</t>
  </si>
  <si>
    <t>Q3</t>
  </si>
  <si>
    <t>Q4</t>
  </si>
  <si>
    <t>Q5</t>
  </si>
  <si>
    <t>Découvrir</t>
  </si>
  <si>
    <t>Pratiquer</t>
  </si>
  <si>
    <t>Approfondir</t>
  </si>
  <si>
    <t>Construire</t>
  </si>
  <si>
    <t>Je ne sais pas encore</t>
  </si>
  <si>
    <t>ChatGPT / OpenAI</t>
  </si>
  <si>
    <t>Claude / Anthropic</t>
  </si>
  <si>
    <t>Google / Gemini</t>
  </si>
  <si>
    <t>Applications métier de mon organisation</t>
  </si>
  <si>
    <t>Outils de développement</t>
  </si>
  <si>
    <t>Je ne sais pas / je veux comparer</t>
  </si>
  <si>
    <t>Je veux d’abord explorer les options gratuites</t>
  </si>
  <si>
    <t>Je veux utiliser les outils déjà disponibles dans mon organisation</t>
  </si>
  <si>
    <t>Une solution payante est envisageable</t>
  </si>
  <si>
    <t>Je ne sais pas</t>
  </si>
  <si>
    <t>Pas de contrainte particulière</t>
  </si>
  <si>
    <t>Offre</t>
  </si>
  <si>
    <t>Score</t>
  </si>
  <si>
    <t>ID Prompt</t>
  </si>
  <si>
    <t>🧭 BOUSSOLE IA — DE TON BESOIN À TON PREMIER PAS</t>
  </si>
  <si>
    <t>Réponds à cinq questions simples. La Boussole privilégie ton besoin réel et utilise ta Couleur IA uniquement pour personnaliser la progression.</t>
  </si>
  <si>
    <t>1 — TON OBJECTIF</t>
  </si>
  <si>
    <t>Qu’aimerais-tu réussir avec l’IA aujourd’hui ?</t>
  </si>
  <si>
    <t>2 — LE RÉSULTAT UTILE</t>
  </si>
  <si>
    <t>À quoi devrait ressembler le résultat utile pour toi ?</t>
  </si>
  <si>
    <t>3 — TON NIVEAU</t>
  </si>
  <si>
    <t>Jusqu’où veux-tu aller aujourd’hui ?</t>
  </si>
  <si>
    <t>4 — TON ENVIRONNEMENT</t>
  </si>
  <si>
    <t>Dans quel environnement souhaites-tu travailler ?</t>
  </si>
  <si>
    <t>5 — ACCÈS / BUDGET</t>
  </si>
  <si>
    <t>As-tu une contrainte d’accès ou de budget ?</t>
  </si>
  <si>
    <t>🎨 PERSONNALISATION</t>
  </si>
  <si>
    <t>La Couleur IA influence le ton et le prochain défi. Elle ne remplace pas le besoin sélectionné ci-dessus.</t>
  </si>
  <si>
    <t>B — CE QUE TU PEUX FAIRE MAINTENANT</t>
  </si>
  <si>
    <t>D — PROMPT POUR COMMENCER</t>
  </si>
  <si>
    <t>F — POUR COMPRENDRE</t>
  </si>
  <si>
    <t>G — POUR PROGRESSER</t>
  </si>
  <si>
    <t>🧭 ATLAS IA — TROUVEZ VOTRE DIRECTION, PAS JUSTE UN OUTIL</t>
  </si>
  <si>
    <t>Vous ne savez pas encore ce que l’IA peut faire pour vous ? L’Atlas vous aide à vous orienter, comprendre, choisir et passer à l’action.</t>
  </si>
  <si>
    <t>Commencez par la Boussole IA pour obtenir un premier parcours — ou explorez librement les notions, outils, prompts, agents et certifications.</t>
  </si>
  <si>
    <t>🧭 COMMENCER ICI — TROUVER MA DIRECTION</t>
  </si>
  <si>
    <t>BOUSSOLE IA</t>
  </si>
  <si>
    <t>Répondez à 5 questions simples pour obtenir une direction, un premier outil et une action concrète.</t>
  </si>
  <si>
    <t>→ OUVRIR LA BOUSSOLE IA</t>
  </si>
  <si>
    <t>Sélectionnez l’onglet « Boussole IA » dans la barre des feuilles.</t>
  </si>
  <si>
    <t>EXPLORATION LIBRE — JE SAIS DÉJÀ CE QUE JE CHERCHE</t>
  </si>
  <si>
    <t>ZONE 1 — TA POSITION</t>
  </si>
  <si>
    <t>TA TRAJECTOIRE</t>
  </si>
  <si>
    <t>ZONE 2 — TA DIRECTION</t>
  </si>
  <si>
    <t>ZONE 3 — TON PREMIER PAS</t>
  </si>
  <si>
    <t>ZONE 4 — EXPLORE PLUS LOIN</t>
  </si>
  <si>
    <t>ZONE 5 — FIABILITÉ DES REPÈRES</t>
  </si>
  <si>
    <t>TESTÉ — essai documenté dans l’Atlas</t>
  </si>
  <si>
    <t>RÉFÉRENCÉ — information présente dans l’Atlas</t>
  </si>
  <si>
    <t>À TESTER — élément recensé mais non testé</t>
  </si>
  <si>
    <t>À VÉRIFIER — coût, offre ou compatibilité incertains</t>
  </si>
  <si>
    <t>⌂ RETOUR À L’ATLAS — sélectionnez l’onglet « Accueil »</t>
  </si>
  <si>
    <t>⌂ ATLAS — retour via l’onglet Accueil</t>
  </si>
  <si>
    <t>🗺️ ARCHITECTURE ATLAS — CARTOGRAPHIE FONCTIONNELLE DE LA V1</t>
  </si>
  <si>
    <t>Documentation produit et système : rôle des feuilles, dépendances, visibilité et évolution envisagée.</t>
  </si>
  <si>
    <t>CONCEPT GLOBAL</t>
  </si>
  <si>
    <t>ATLAS IA est un système d’orientation : utilisateur / contexte → intention → besoin → capacité → outil → prompt ou agent → notion → progression. Toutes les relations ne sont pas encore entièrement implémentées dans la V1. Deux modes coexistent : MODE GUIDÉ → Boussole IA ; MODE EXPLORATION → accès direct aux ressources.</t>
  </si>
  <si>
    <t>Couche</t>
  </si>
  <si>
    <t>Feuilles</t>
  </si>
  <si>
    <t>Finalité</t>
  </si>
  <si>
    <t>Visibilité V1</t>
  </si>
  <si>
    <t>Accueil ; Boussole IA</t>
  </si>
  <si>
    <t>Entrer et être guidé</t>
  </si>
  <si>
    <t>Visible</t>
  </si>
  <si>
    <t>Boussole Références</t>
  </si>
  <si>
    <t>Calculer l’orientation</t>
  </si>
  <si>
    <t>Masquée</t>
  </si>
  <si>
    <t>Mixte</t>
  </si>
  <si>
    <t>CARTOGRAPHIE DES FEUILLES</t>
  </si>
  <si>
    <t>Feuille</t>
  </si>
  <si>
    <t>Rôle</t>
  </si>
  <si>
    <t>Utilisateur principal</t>
  </si>
  <si>
    <t>Contenu principal</t>
  </si>
  <si>
    <t>Entrées / dépendances</t>
  </si>
  <si>
    <t>Sorties / relations</t>
  </si>
  <si>
    <t>Pourquoi c’est important</t>
  </si>
  <si>
    <t>Statut V1</t>
  </si>
  <si>
    <t>Visibilité cible</t>
  </si>
  <si>
    <t>Évolution envisagée</t>
  </si>
  <si>
    <t>Notes</t>
  </si>
  <si>
    <t>Accueil</t>
  </si>
  <si>
    <t>Interface utilisateur</t>
  </si>
  <si>
    <t>Porte d’entrée de l’Atlas</t>
  </si>
  <si>
    <t>Utilisateur final</t>
  </si>
  <si>
    <t>Promesse, compteurs, Couleur IA</t>
  </si>
  <si>
    <t>Glossaire; Usages; Agents; Prompts; Certifications; Sources</t>
  </si>
  <si>
    <t>Boussole IA; exploration libre</t>
  </si>
  <si>
    <t>Rend le parcours compréhensible</t>
  </si>
  <si>
    <t>Cœur du produit</t>
  </si>
  <si>
    <t>Conserver</t>
  </si>
  <si>
    <t>Navigation par onglets</t>
  </si>
  <si>
    <t>Boussole IA</t>
  </si>
  <si>
    <t>Oriente depuis un besoin concret</t>
  </si>
  <si>
    <t>5 réponses et résultat guidé</t>
  </si>
  <si>
    <t>Accueil; Boussole Références</t>
  </si>
  <si>
    <t>Outils; prompts; agents; notions; titres</t>
  </si>
  <si>
    <t>Cœur de l’orientation V1</t>
  </si>
  <si>
    <t>Besoin prioritaire sur Couleur IA</t>
  </si>
  <si>
    <t>Glossaire</t>
  </si>
  <si>
    <t>Exploration</t>
  </si>
  <si>
    <t>Les deux</t>
  </si>
  <si>
    <t>Accueil; Boussole IA</t>
  </si>
  <si>
    <t>Réduit la barrière technique</t>
  </si>
  <si>
    <t>Utile</t>
  </si>
  <si>
    <t>Recherche guidée des solutions</t>
  </si>
  <si>
    <t>Recherche textuelle de solutions</t>
  </si>
  <si>
    <t>Transforme l’exploration en parcours</t>
  </si>
  <si>
    <t>Prompts</t>
  </si>
  <si>
    <t>Recherche des prompts adaptables</t>
  </si>
  <si>
    <t>Moteur de recherche de prompts</t>
  </si>
  <si>
    <t>Bibliothèque prompts</t>
  </si>
  <si>
    <t>Actions utilisateur</t>
  </si>
  <si>
    <t>Rend l’expérimentation concrète</t>
  </si>
  <si>
    <t>Interface distincte du référentiel</t>
  </si>
  <si>
    <t>Référentiel</t>
  </si>
  <si>
    <t>Référentiel canonique des prompts</t>
  </si>
  <si>
    <t>Créateur / administrateur Atlas</t>
  </si>
  <si>
    <t>40 prompts et métadonnées</t>
  </si>
  <si>
    <t>Sources prompts</t>
  </si>
  <si>
    <t>Prompts; Boussole Références</t>
  </si>
  <si>
    <t>Assure traçabilité et structure</t>
  </si>
  <si>
    <t>Support</t>
  </si>
  <si>
    <t>Conserver comme référentiel</t>
  </si>
  <si>
    <t>Tous les prompts restent À tester</t>
  </si>
  <si>
    <t>Gouvernance</t>
  </si>
  <si>
    <t>7 sources et règles</t>
  </si>
  <si>
    <t>Sources documentaires</t>
  </si>
  <si>
    <t>Accueil; Bibliothèque prompts</t>
  </si>
  <si>
    <t>Rend les contenus auditables</t>
  </si>
  <si>
    <t>Gouvernance dédiée aux prompts</t>
  </si>
  <si>
    <t>Évaluations prompts</t>
  </si>
  <si>
    <t>40 fiches d’évaluation</t>
  </si>
  <si>
    <t>Statut futur des prompts</t>
  </si>
  <si>
    <t>Sépare référencé et testé</t>
  </si>
  <si>
    <t>Aucun prompt testé en V1</t>
  </si>
  <si>
    <t>Outils</t>
  </si>
  <si>
    <t>138 outils et métadonnées</t>
  </si>
  <si>
    <t>Usages; Agents; Glossaire</t>
  </si>
  <si>
    <t>Base des recommandations d’outils</t>
  </si>
  <si>
    <t>Moteur de correspondance V1</t>
  </si>
  <si>
    <t>Système</t>
  </si>
  <si>
    <t>Besoins, capacités et formules</t>
  </si>
  <si>
    <t>Boussole IA; Outils; Prompts; Agents; Certifications</t>
  </si>
  <si>
    <t>Sépare logique et interface</t>
  </si>
  <si>
    <t>Masquer à terme</t>
  </si>
  <si>
    <t>Ne pas éditer sans test</t>
  </si>
  <si>
    <t>Moodboard V2</t>
  </si>
  <si>
    <t>Design</t>
  </si>
  <si>
    <t>Référence artistique</t>
  </si>
  <si>
    <t>Palette et directions visuelles</t>
  </si>
  <si>
    <t>Identité Cyber Lab / Neon Muse</t>
  </si>
  <si>
    <t>Accueil; interfaces</t>
  </si>
  <si>
    <t>Préserve la cohérence visuelle</t>
  </si>
  <si>
    <t>Référence, pas interface</t>
  </si>
  <si>
    <t>Architecture Atlas</t>
  </si>
  <si>
    <t>Cartographie du classeur</t>
  </si>
  <si>
    <t>Rôles, couches et dépendances</t>
  </si>
  <si>
    <t>Toutes les feuilles</t>
  </si>
  <si>
    <t>Futures évolutions</t>
  </si>
  <si>
    <t>Réduit les effets de bord</t>
  </si>
  <si>
    <t>Capacités</t>
  </si>
  <si>
    <t>Types</t>
  </si>
  <si>
    <t>Niveaux</t>
  </si>
  <si>
    <t>Éditeurs</t>
  </si>
  <si>
    <t>Coûts</t>
  </si>
  <si>
    <t>Toutes les capacités</t>
  </si>
  <si>
    <t>Tous les types</t>
  </si>
  <si>
    <t>Tous</t>
  </si>
  <si>
    <t>Tous les éditeurs</t>
  </si>
  <si>
    <t>Freemium</t>
  </si>
  <si>
    <t>Payant</t>
  </si>
  <si>
    <t>🗺️ EXPLORER LES SOLUTIONS — PARCOUREZ LA CARTE DES OUTILS IA</t>
  </si>
  <si>
    <t>⌂ ATLAS — retour via l’onglet Accueil  •  Besoin d’être guidé ? Ouvrez l’onglet Boussole IA</t>
  </si>
  <si>
    <t>CAPACITÉ</t>
  </si>
  <si>
    <t>TYPE D’OUTIL</t>
  </si>
  <si>
    <t>NIVEAU</t>
  </si>
  <si>
    <t>ÉDITEUR / ÉCOSYSTÈME</t>
  </si>
  <si>
    <t>ACCÈS / COÛT</t>
  </si>
  <si>
    <t>RECHERCHER PAR NOM, ÉDITEUR OU CAPACITÉ</t>
  </si>
  <si>
    <t>Explorer les solutions</t>
  </si>
  <si>
    <t>Filtres et résultats dynamiques sur 138 outils</t>
  </si>
  <si>
    <t>Outils / TableauOutils</t>
  </si>
  <si>
    <t>Complémentaire de Boussole IA</t>
  </si>
  <si>
    <t>Réduit les doublons et centralise la comparaison</t>
  </si>
  <si>
    <t>Destinée à remplacer côté utilisateur Recherche guidée des solutions et une partie de Usages &amp; Solutions</t>
  </si>
  <si>
    <t>🧭 VUE COMPARATIVE DES USAGES ET DES ÉCOSYSTÈMES</t>
  </si>
  <si>
    <t>Comparez comment les écosystèmes répondent à des familles de besoins. Pour explorer les outils normalisés, utilisez l’onglet « Explorer les solutions ».</t>
  </si>
  <si>
    <t>MODE D’EMPLOI — Choisissez une famille de besoin, puis lisez horizontalement les réponses des différents écosystèmes. Cette vue compare des usages ; elle ne remplace pas le référentiel canonique des outils.  •  ⌂ Retour via l’onglet Accueil</t>
  </si>
  <si>
    <t>Explorez les outils référencés dans l’Atlas et filtrez-les selon votre besoin. « Référencé » ne signifie pas « testé ».</t>
  </si>
  <si>
    <t>COMMENT UTILISER LE LABORATOIRE</t>
  </si>
  <si>
    <t>Adaptez un prompt à votre contexte et vérifiez son statut avant réutilisation. « À tester » signifie qu’aucun essai documenté ne permet encore de le recommander comme validé.</t>
  </si>
  <si>
    <t>Interface historique de recherche par besoin.</t>
  </si>
  <si>
    <t>Logique historique de résultats</t>
  </si>
  <si>
    <t>Conserve une trace de l’ancienne orientation</t>
  </si>
  <si>
    <t>Redondance remplacée</t>
  </si>
  <si>
    <t>Conserver temporairement comme logique historique</t>
  </si>
  <si>
    <t>Suppression éventuelle après contrôle complet des dépendances</t>
  </si>
  <si>
    <t>Gère la provenance et les règles de collecte des prompts.</t>
  </si>
  <si>
    <t>Gère la validation et les tests documentés des prompts.</t>
  </si>
  <si>
    <t>Référentiel canonique alimentant Explorer les solutions et Boussole IA.</t>
  </si>
  <si>
    <t>Explorer les solutions; Boussole Références</t>
  </si>
  <si>
    <t>Back-office canonique des 138 outils</t>
  </si>
  <si>
    <t>Documentation fonctionnelle visible pour la version de travail</t>
  </si>
  <si>
    <t>Interface principale d’exploration du référentiel Outils.</t>
  </si>
  <si>
    <t>EXPÉRIENCE</t>
  </si>
  <si>
    <t>EXPLORATION</t>
  </si>
  <si>
    <t>Explorer et comparer</t>
  </si>
  <si>
    <t>RÉFÉRENTIELS / BACK-OFFICE</t>
  </si>
  <si>
    <t>Données canoniques</t>
  </si>
  <si>
    <t>GOUVERNANCE</t>
  </si>
  <si>
    <t>Sources prompts ; Évaluations prompts ; Architecture Atlas</t>
  </si>
  <si>
    <t>Provenance, validation et documentation</t>
  </si>
  <si>
    <t>MOTEUR</t>
  </si>
  <si>
    <t>DESIGN</t>
  </si>
  <si>
    <t>HISTORIQUE / LEGACY</t>
  </si>
  <si>
    <t>Conserver la logique historique</t>
  </si>
  <si>
    <t>Besoin</t>
  </si>
  <si>
    <t>Capacité Atlas</t>
  </si>
  <si>
    <t>Écosystème</t>
  </si>
  <si>
    <t>Solution représentative</t>
  </si>
  <si>
    <t>Type de relation</t>
  </si>
  <si>
    <t>Repère d’usage</t>
  </si>
  <si>
    <t>Confiance</t>
  </si>
  <si>
    <t>Absence référencée</t>
  </si>
  <si>
    <t>Aucune solution référencée</t>
  </si>
  <si>
    <t>Intégration</t>
  </si>
  <si>
    <t>Agent d’exécution / délégation</t>
  </si>
  <si>
    <t>Fonctionnalité</t>
  </si>
  <si>
    <t>Construction d’agents no-code / low-code</t>
  </si>
  <si>
    <t>Code / développement</t>
  </si>
  <si>
    <t>Sécurité / gouvernance IA</t>
  </si>
  <si>
    <t>Transcription / réunions</t>
  </si>
  <si>
    <t>Couverture</t>
  </si>
  <si>
    <t>Solutions représentatives</t>
  </si>
  <si>
    <t>Particularité / repère d’usage</t>
  </si>
  <si>
    <t>Solution(s) référencée(s)</t>
  </si>
  <si>
    <t>OUT-001 Copilot Chat</t>
  </si>
  <si>
    <t>OUT-036 Claude</t>
  </si>
  <si>
    <t>OUT-041 ChatGPT</t>
  </si>
  <si>
    <t>OUT-047 Gemini</t>
  </si>
  <si>
    <t>OUT-059 Perplexity Assistant</t>
  </si>
  <si>
    <t>OUT-098 Amazon Q</t>
  </si>
  <si>
    <t>OUT-120 Meta AI</t>
  </si>
  <si>
    <t>OUT-122 Le Chat</t>
  </si>
  <si>
    <t>OUT-124 Coral</t>
  </si>
  <si>
    <t>OUT-127 HuggingChat</t>
  </si>
  <si>
    <t>OUT-002 Microsoft 365 Copilot</t>
  </si>
  <si>
    <t>OUT-061 Einstein Copilot</t>
  </si>
  <si>
    <t>OUT-071 Now Assist</t>
  </si>
  <si>
    <t>OUT-077 Joule</t>
  </si>
  <si>
    <t>OUT-085 Oracle AI Digital Assistant</t>
  </si>
  <si>
    <t>OUT-092 Atlassian Rovo</t>
  </si>
  <si>
    <t>OUT-062 Agentforce</t>
  </si>
  <si>
    <t>OUT-113 watsonx Orchestrate</t>
  </si>
  <si>
    <t>OUT-134 Zapier</t>
  </si>
  <si>
    <t>OUT-004 Copilot Agent Builder ; OUT-003 Copilot Studio</t>
  </si>
  <si>
    <t>🏷️ GPTs personnalisés / Workspace agents • 🏷️ Agent Builder / Responses API</t>
  </si>
  <si>
    <t>OUT-050 Vertex AI Agent Builder ; OUT-048 Vertex AI</t>
  </si>
  <si>
    <t>OUT-114 watsonx Assistant</t>
  </si>
  <si>
    <t>OUT-129 Hugging Face Spaces</t>
  </si>
  <si>
    <t>OUT-135 Zapier Chatbots ; OUT-134 Zapier</t>
  </si>
  <si>
    <t>OUT-034 Semantic Kernel</t>
  </si>
  <si>
    <t>OUT-121 Llama Stack</t>
  </si>
  <si>
    <t>OUT-123 La Plateforme / API</t>
  </si>
  <si>
    <t>OUT-125 Command API</t>
  </si>
  <si>
    <t>OUT-007 Power Automate</t>
  </si>
  <si>
    <t>OUT-064 Salesforce Flow Builder</t>
  </si>
  <si>
    <t>OUT-073 ServiceNow Flow Designer</t>
  </si>
  <si>
    <t>OUT-079 SAP Build Process Automation</t>
  </si>
  <si>
    <t>OUT-087 Oracle Integration Cloud</t>
  </si>
  <si>
    <t>OUT-096 Automation for Jira ; OUT-094 Jira</t>
  </si>
  <si>
    <t>OUT-101 AWS Step Functions</t>
  </si>
  <si>
    <t>OUT-132 n8n</t>
  </si>
  <si>
    <t>OUT-133 Make</t>
  </si>
  <si>
    <t>OUT-012 GitHub Copilot</t>
  </si>
  <si>
    <t>OUT-037 Claude Code ; OUT-036 Claude</t>
  </si>
  <si>
    <t>OUT-055 Gemini Code Assist ; OUT-047 Gemini</t>
  </si>
  <si>
    <t>OUT-105 Amazon Q Developer ; OUT-098 Amazon Q</t>
  </si>
  <si>
    <t>OUT-117 watsonx Code Assistant</t>
  </si>
  <si>
    <t>OUT-013 Azure AI Search</t>
  </si>
  <si>
    <t>OUT-056 Vertex AI Search ; OUT-048 Vertex AI</t>
  </si>
  <si>
    <t>OUT-067 Einstein Search</t>
  </si>
  <si>
    <t>OUT-075 Now Assist Search ; OUT-071 Now Assist</t>
  </si>
  <si>
    <t>OUT-083 SAP Business AI Search</t>
  </si>
  <si>
    <t>OUT-090 Oracle AI Vector Search</t>
  </si>
  <si>
    <t>OUT-093 Atlassian Intelligence</t>
  </si>
  <si>
    <t>OUT-106 Amazon Kendra</t>
  </si>
  <si>
    <t>OUT-118 watsonx Discovery</t>
  </si>
  <si>
    <t>OUT-126 Cohere Rerank</t>
  </si>
  <si>
    <t>OUT-131 Hugging Face Inference Endpoints</t>
  </si>
  <si>
    <t>OUT-014 Power BI ; OUT-015 Microsoft Excel</t>
  </si>
  <si>
    <t>OUT-047 Gemini ; OUT-057 Looker</t>
  </si>
  <si>
    <t>OUT-068 Tableau AI</t>
  </si>
  <si>
    <t>OUT-076 Now Assist Analytics ; OUT-071 Now Assist</t>
  </si>
  <si>
    <t>OUT-084 SAP Analytics Cloud</t>
  </si>
  <si>
    <t>OUT-091 Oracle Analytics</t>
  </si>
  <si>
    <t>OUT-107 Amazon QuickSight Q</t>
  </si>
  <si>
    <t>OUT-110 watsonx.ai</t>
  </si>
  <si>
    <t>OUT-030 Microsoft Purview</t>
  </si>
  <si>
    <t>OUT-040 Claude Admin Console ; OUT-036 Claude</t>
  </si>
  <si>
    <t>OUT-058 Vertex AI Governance ; OUT-048 Vertex AI</t>
  </si>
  <si>
    <t>OUT-069 Salesforce Shield ; OUT-070 Einstein Trust</t>
  </si>
  <si>
    <t>OUT-078 SAP AI Core</t>
  </si>
  <si>
    <t>OUT-097 Atlassian Guard</t>
  </si>
  <si>
    <t>OUT-108 Amazon Bedrock Guardrails ; OUT-099 Amazon Bedrock</t>
  </si>
  <si>
    <t>OUT-112 watsonx.governance</t>
  </si>
  <si>
    <t>OUT-016 Microsoft Designer</t>
  </si>
  <si>
    <t>OUT-041 ChatGPT ; OUT-046 Whisper API</t>
  </si>
  <si>
    <t>OUT-054 Google Meet</t>
  </si>
  <si>
    <t>OUT-109 Amazon Transcribe</t>
  </si>
  <si>
    <t>OUT-119 watsonx Speech to Text</t>
  </si>
  <si>
    <t>Besoins comparables</t>
  </si>
  <si>
    <t>📡 COMPARER LES ÉCOSYSTÈMES — RADAR DES RÉPONSES IA</t>
  </si>
  <si>
    <t>Découvrez comment les principaux écosystèmes répondent à un même besoin.</t>
  </si>
  <si>
    <t>Pour explorer les outils individuellement, utilisez l’onglet « Explorer les solutions ».</t>
  </si>
  <si>
    <t>CHOISIR UN BESOIN À COMPARER</t>
  </si>
  <si>
    <t>LÉGENDE — « Aucune solution référencée » signifie uniquement que l’Atlas ne référence actuellement aucune réponse pour ce besoin ; cela ne prouve pas l’absence réelle d’une solution chez l’éditeur.</t>
  </si>
  <si>
    <t>Les offres, fonctionnalités et intégrations sans ID OUT-xxx restent des repères d’usage et ne sont pas présentées comme de nouveaux outils.</t>
  </si>
  <si>
    <t>⌂ ATLAS — retour via l’onglet Accueil  •  Catalogue normalisé → Explorer les solutions</t>
  </si>
  <si>
    <t>Matrice historique besoins × écosystèmes.</t>
  </si>
  <si>
    <t>TableauConsolide intact</t>
  </si>
  <si>
    <t>Matrice historique</t>
  </si>
  <si>
    <t>Comparaison Références</t>
  </si>
  <si>
    <t>Conserve la source comparative historique</t>
  </si>
  <si>
    <t>Ne constitue plus une interface utilisateur</t>
  </si>
  <si>
    <t>Comparer les écosystèmes</t>
  </si>
  <si>
    <t>Compare la couverture des besoins entre écosystèmes à partir des informations référencées dans l’Atlas.</t>
  </si>
  <si>
    <t>Radar besoin × écosystème</t>
  </si>
  <si>
    <t>Complémentaire de Explorer les solutions</t>
  </si>
  <si>
    <t>Préserve la lecture comparative sans recréer un catalogue</t>
  </si>
  <si>
    <t>Utilise les IDs OUT-xxx uniquement lorsqu’une correspondance fiable existe</t>
  </si>
  <si>
    <t>Conserve les relations historiques besoin × écosystème et alimente le comparateur.</t>
  </si>
  <si>
    <t>Relations longues et synthèses comparatives</t>
  </si>
  <si>
    <t>Usages &amp; Solutions; Outils</t>
  </si>
  <si>
    <t>Sépare la donnée historique de l’interface</t>
  </si>
  <si>
    <t>Offres, fonctionnalités et intégrations restent des repères</t>
  </si>
  <si>
    <t>Type d’expérience</t>
  </si>
  <si>
    <t>Niveau d’autonomie</t>
  </si>
  <si>
    <t>Assistant</t>
  </si>
  <si>
    <t>Agent spécialisé</t>
  </si>
  <si>
    <t>Fonctionnalité IA</t>
  </si>
  <si>
    <t>Assistance</t>
  </si>
  <si>
    <t>Action guidée</t>
  </si>
  <si>
    <t>Semi-autonome</t>
  </si>
  <si>
    <t>🤖 AGENTS &amp; ASSISTANTS IA</t>
  </si>
  <si>
    <t>Explorez des assistants, agents spécialisés et expériences IA selon la tâche à accomplir.</t>
  </si>
  <si>
    <t>⌂ ATLAS — retour via l’onglet Accueil  •  Ici, « agent » ne signifie pas nécessairement autonome.</t>
  </si>
  <si>
    <t>🤖 Recherche</t>
  </si>
  <si>
    <t>Exemples : présentation, recherche, réunion, SharePoint, RH, ventes, rédaction, analyse.</t>
  </si>
  <si>
    <t>Nom</t>
  </si>
  <si>
    <t>Ce qu’il fait</t>
  </si>
  <si>
    <t>Outil / environnement</t>
  </si>
  <si>
    <t>Quand l’utiliser / exemples</t>
  </si>
  <si>
    <t>Autonomie</t>
  </si>
  <si>
    <t>À qualifier</t>
  </si>
  <si>
    <t>Agents &amp; assistants IA</t>
  </si>
  <si>
    <t>Permet de partir d’une mission ou d’un rôle plutôt que d’un produit</t>
  </si>
  <si>
    <t>Explorer les solutions ; Comparer les écosystèmes ; Glossaire ; Prompts ; Agents &amp; assistants IA ; Certifications</t>
  </si>
  <si>
    <t>Interface utilisateur pure pour explorer assistants, agents spécialisés, agents et fonctionnalités intégrées.</t>
  </si>
  <si>
    <t>Recherche, filtres et résultats dynamiques</t>
  </si>
  <si>
    <t>Référentiel Agents / Tableau5</t>
  </si>
  <si>
    <t>Le référentiel source est séparé et masqué</t>
  </si>
  <si>
    <t>Référentiel Agents</t>
  </si>
  <si>
    <t>Référentiel canonique des 25 agents, assistants et fonctionnalités IA alimentant l’interface et la Boussole.</t>
  </si>
  <si>
    <t>Tableau5 et listes techniques de filtres</t>
  </si>
  <si>
    <t>Données classifiées AG-001:AG-025</t>
  </si>
  <si>
    <t>Agents &amp; assistants IA; Boussole IA; Accueil</t>
  </si>
  <si>
    <t>Sépare le back-office de l’expérience utilisateur</t>
  </si>
  <si>
    <t>Relations plusieurs-à-plusieurs avec Outils à formaliser ultérieurement</t>
  </si>
  <si>
    <t>REPÈRE — Une certification valide un ensemble de compétences ; un Applied Skill valide une compétence pratique ciblée.</t>
  </si>
  <si>
    <t>* Les certifications complètes sont payantes. Les Applied Skills sont des évaluations pratiques Microsoft Learn ; vérifiez les conditions, pays, taxes et promotions au moment de l’inscription.</t>
  </si>
  <si>
    <t>Interface utilisateur de recherche et compréhension des notions IA.</t>
  </si>
  <si>
    <t>Recherche et résultats dynamiques</t>
  </si>
  <si>
    <t>Référentiel Glossaire / Tableau1</t>
  </si>
  <si>
    <t>Interface pure ; source déplacée</t>
  </si>
  <si>
    <t>Interface utilisateur de recherche des titres de compétence.</t>
  </si>
  <si>
    <t>Recherche, résultats et repère Certification / Applied Skill</t>
  </si>
  <si>
    <t>Référentiel Certifications / Tableau7</t>
  </si>
  <si>
    <t>Interface pure ; sources déplacées</t>
  </si>
  <si>
    <t>Référentiel Glossaire</t>
  </si>
  <si>
    <t>Référentiel canonique des 106 notions alimentant l’interface Glossaire.</t>
  </si>
  <si>
    <t>Tableau1 : N-001 à N-106</t>
  </si>
  <si>
    <t>Données du Glossaire</t>
  </si>
  <si>
    <t>Glossaire; Accueil</t>
  </si>
  <si>
    <t>Garantit une source unique des notions</t>
  </si>
  <si>
    <t>Glossaire ← Tableau1</t>
  </si>
  <si>
    <t>Référentiel Certifications</t>
  </si>
  <si>
    <t>Référentiel des titres de compétence et du vocabulaire explicatif associé.</t>
  </si>
  <si>
    <t>Tableau7 et Tableau8</t>
  </si>
  <si>
    <t>Données Certifications</t>
  </si>
  <si>
    <t>Certifications; Boussole IA</t>
  </si>
  <si>
    <t>Sépare titres, définitions et interface</t>
  </si>
  <si>
    <t>Certifications ← Tableau7 ; Boussole IA ← Tableau7</t>
  </si>
  <si>
    <t>Outils ; Bibliothèque prompts ; Usages &amp; Solutions ; Comparaison Références ; Référentiel Agents ; Référentiel Glossaire ; Référentiel Certifications</t>
  </si>
  <si>
    <t>Décoder une notion ou un acronyme
→ Glossaire</t>
  </si>
  <si>
    <t>Trouver un outil ou comparer les écosystèmes
→ Explorer les solutions + Comparer les écosystèmes</t>
  </si>
  <si>
    <t>Trouver un prompt ou un agent/assistant adapté
→ Prompts + Agents &amp; assistants IA</t>
  </si>
  <si>
    <t>Trouver une certification ou une compétence à développer
→ Certifications</t>
  </si>
  <si>
    <t>COMPRENDRE LES TYPES D’EXPÉRIENCE</t>
  </si>
  <si>
    <t>Le type décrit la nature de l’expérience ; l’autonomie décrit jusqu’où elle peut agir. Ce ne sont pas des niveaux de qualité.</t>
  </si>
  <si>
    <t>AGENT</t>
  </si>
  <si>
    <t>Peut enchaîner ou exécuter des actions avec un certain degré d’autonomie.</t>
  </si>
  <si>
    <t>ASSISTANT</t>
  </si>
  <si>
    <t>Aide l’utilisateur à réfléchir, rédiger, décider ou accomplir une tâche, principalement sous sa direction.</t>
  </si>
  <si>
    <t>AGENT SPÉCIALISÉ</t>
  </si>
  <si>
    <t>Expérience conçue pour une mission ou un domaine précis, avec des actions guidées ou ciblées.</t>
  </si>
  <si>
    <t>FONCTIONNALITÉ IA</t>
  </si>
  <si>
    <t>Capacité IA intégrée à un outil existant ; ce n’est pas nécessairement un agent autonome.</t>
  </si>
  <si>
    <t>NIVEAU D’AUTONOMIE</t>
  </si>
  <si>
    <t>Assistance — l’utilisateur reste aux commandes.
Action guidée — réalise ou guide certaines actions dans un cadre défini.
Semi-autonome — peut enchaîner certaines actions avec moins d’intervention.
Autonome — catégorie prévue, mais aucune des 25 expériences actuelles n’est classée ainsi.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</si>
</sst>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3" x14ac:knownFonts="1">
    <font>
      <sz val="11"/>
      <color theme="1"/>
      <name val="Aptos Narrow"/>
      <family val="2"/>
      <scheme val="minor"/>
    </font>
    <font>
      <b/>
      <sz val="11"/>
      <color theme="1"/>
      <name val="Aptos Narrow"/>
      <family val="2"/>
      <scheme val="minor"/>
    </font>
    <font>
      <u/>
      <sz val="11"/>
      <color theme="10"/>
      <name val="Aptos Narrow"/>
      <family val="2"/>
      <scheme val="minor"/>
    </font>
    <font>
      <sz val="8"/>
      <name val="Aptos Narrow"/>
      <family val="2"/>
      <scheme val="minor"/>
    </font>
    <font>
      <b/>
      <sz val="11"/>
      <color rgb="FF00E5FF"/>
      <name val="Aptos Narrow"/>
      <family val="2"/>
      <scheme val="minor"/>
    </font>
    <font>
      <b/>
      <sz val="13"/>
      <color rgb="FF00E5FF"/>
      <name val="Aptos Narrow"/>
      <family val="2"/>
      <scheme val="minor"/>
    </font>
    <font>
      <b/>
      <sz val="20"/>
      <color rgb="FFF3FBFF"/>
      <name val="Aptos Narrow"/>
      <family val="2"/>
      <scheme val="minor"/>
    </font>
    <font>
      <i/>
      <sz val="11"/>
      <color rgb="FF9EABC2"/>
      <name val="Aptos Narrow"/>
      <family val="2"/>
      <scheme val="minor"/>
    </font>
    <font>
      <sz val="11"/>
      <color rgb="FFF5FCFF"/>
      <name val="Aptos Narrow"/>
      <family val="2"/>
      <scheme val="minor"/>
    </font>
    <font>
      <b/>
      <sz val="11"/>
      <color rgb="FF050812"/>
      <name val="Aptos Narrow"/>
      <family val="2"/>
      <scheme val="minor"/>
    </font>
    <font>
      <b/>
      <sz val="13"/>
      <color rgb="FF050812"/>
      <name val="Aptos Narrow"/>
      <family val="2"/>
      <scheme val="minor"/>
    </font>
    <font>
      <sz val="11"/>
      <color rgb="FF91A4BD"/>
      <name val="Aptos Narrow"/>
      <family val="2"/>
      <scheme val="minor"/>
    </font>
    <font>
      <i/>
      <sz val="11"/>
      <color rgb="FF91A4BD"/>
      <name val="Aptos Narrow"/>
      <family val="2"/>
      <scheme val="minor"/>
    </font>
    <font>
      <b/>
      <sz val="11"/>
      <color rgb="FF7C3AED"/>
      <name val="Aptos Narrow"/>
      <family val="2"/>
      <scheme val="minor"/>
    </font>
    <font>
      <sz val="11"/>
      <color rgb="FFF1FFF9"/>
      <name val="Aptos Narrow"/>
      <family val="2"/>
      <scheme val="minor"/>
    </font>
    <font>
      <b/>
      <sz val="11"/>
      <color rgb="FF030712"/>
      <name val="Aptos Narrow"/>
      <family val="2"/>
      <scheme val="minor"/>
    </font>
    <font>
      <b/>
      <sz val="13"/>
      <color rgb="FF030712"/>
      <name val="Aptos Narrow"/>
      <family val="2"/>
      <scheme val="minor"/>
    </font>
    <font>
      <sz val="11"/>
      <color rgb="FF8FA8A1"/>
      <name val="Aptos Narrow"/>
      <family val="2"/>
      <scheme val="minor"/>
    </font>
    <font>
      <i/>
      <sz val="11"/>
      <color rgb="FF8FA8A1"/>
      <name val="Aptos Narrow"/>
      <family val="2"/>
      <scheme val="minor"/>
    </font>
    <font>
      <b/>
      <sz val="13"/>
      <color rgb="FF00FFB2"/>
      <name val="Aptos Narrow"/>
      <family val="2"/>
      <scheme val="minor"/>
    </font>
    <font>
      <b/>
      <sz val="11"/>
      <color rgb="FF00A3FF"/>
      <name val="Aptos Narrow"/>
      <family val="2"/>
      <scheme val="minor"/>
    </font>
    <font>
      <sz val="11"/>
      <color rgb="FFFAF8FF"/>
      <name val="Aptos Narrow"/>
      <family val="2"/>
      <scheme val="minor"/>
    </font>
    <font>
      <b/>
      <sz val="11"/>
      <color rgb="FF070515"/>
      <name val="Aptos Narrow"/>
      <family val="2"/>
      <scheme val="minor"/>
    </font>
    <font>
      <b/>
      <sz val="13"/>
      <color rgb="FF070515"/>
      <name val="Aptos Narrow"/>
      <family val="2"/>
      <scheme val="minor"/>
    </font>
    <font>
      <sz val="11"/>
      <color rgb="FFA8A0C5"/>
      <name val="Aptos Narrow"/>
      <family val="2"/>
      <scheme val="minor"/>
    </font>
    <font>
      <i/>
      <sz val="11"/>
      <color rgb="FFA8A0C5"/>
      <name val="Aptos Narrow"/>
      <family val="2"/>
      <scheme val="minor"/>
    </font>
    <font>
      <b/>
      <sz val="13"/>
      <color rgb="FF8B5CF6"/>
      <name val="Aptos Narrow"/>
      <family val="2"/>
      <scheme val="minor"/>
    </font>
    <font>
      <b/>
      <sz val="11"/>
      <color rgb="FF22D3EE"/>
      <name val="Aptos Narrow"/>
      <family val="2"/>
      <scheme val="minor"/>
    </font>
    <font>
      <sz val="11"/>
      <color rgb="FFFFF7FD"/>
      <name val="Aptos Narrow"/>
      <family val="2"/>
      <scheme val="minor"/>
    </font>
    <font>
      <b/>
      <sz val="11"/>
      <color rgb="FF0B0612"/>
      <name val="Aptos Narrow"/>
      <family val="2"/>
      <scheme val="minor"/>
    </font>
    <font>
      <b/>
      <sz val="13"/>
      <color rgb="FF0B0612"/>
      <name val="Aptos Narrow"/>
      <family val="2"/>
      <scheme val="minor"/>
    </font>
    <font>
      <sz val="11"/>
      <color rgb="FFC1A6BF"/>
      <name val="Aptos Narrow"/>
      <family val="2"/>
      <scheme val="minor"/>
    </font>
    <font>
      <i/>
      <sz val="11"/>
      <color rgb="FFC1A6BF"/>
      <name val="Aptos Narrow"/>
      <family val="2"/>
      <scheme val="minor"/>
    </font>
    <font>
      <b/>
      <sz val="13"/>
      <color rgb="FFFF4FB8"/>
      <name val="Aptos Narrow"/>
      <family val="2"/>
      <scheme val="minor"/>
    </font>
    <font>
      <sz val="11"/>
      <color rgb="FFB77CFF"/>
      <name val="Aptos Narrow"/>
      <family val="2"/>
      <scheme val="minor"/>
    </font>
    <font>
      <b/>
      <sz val="11"/>
      <color rgb="FFB77CFF"/>
      <name val="Aptos Narrow"/>
      <family val="2"/>
      <scheme val="minor"/>
    </font>
    <font>
      <sz val="11"/>
      <color rgb="FFFFF7FD"/>
      <name val="Aptos"/>
      <family val="2"/>
    </font>
    <font>
      <i/>
      <sz val="11"/>
      <color rgb="FFFFF7FD"/>
      <name val="Aptos"/>
      <family val="2"/>
    </font>
    <font>
      <b/>
      <sz val="11"/>
      <color rgb="FFFFF7FD"/>
      <name val="Aptos"/>
      <family val="2"/>
    </font>
    <font>
      <b/>
      <sz val="19"/>
      <color rgb="FFFF4FB8"/>
      <name val="Aptos"/>
      <family val="2"/>
    </font>
    <font>
      <i/>
      <sz val="10"/>
      <color rgb="FFC1A6BF"/>
      <name val="Aptos"/>
      <family val="2"/>
    </font>
    <font>
      <sz val="11"/>
      <color rgb="FF58FCEC"/>
      <name val="Aptos Narrow"/>
      <family val="2"/>
      <scheme val="minor"/>
    </font>
    <font>
      <i/>
      <sz val="11"/>
      <color rgb="FFC1A6BF"/>
      <name val="Aptos"/>
      <family val="2"/>
    </font>
    <font>
      <b/>
      <sz val="11"/>
      <color rgb="FF0B0612"/>
      <name val="Aptos"/>
      <family val="2"/>
    </font>
    <font>
      <b/>
      <sz val="11"/>
      <color rgb="FF58FCEC"/>
      <name val="Aptos"/>
      <family val="2"/>
    </font>
    <font>
      <b/>
      <sz val="14"/>
      <color rgb="FF58FCEC"/>
      <name val="Aptos"/>
      <family val="2"/>
    </font>
    <font>
      <sz val="11"/>
      <color rgb="FF58FCEC"/>
      <name val="Aptos"/>
      <family val="2"/>
    </font>
    <font>
      <sz val="11"/>
      <color rgb="FFB77CFF"/>
      <name val="Aptos"/>
      <family val="2"/>
    </font>
    <font>
      <u/>
      <sz val="11"/>
      <color rgb="FFFFF7FD"/>
      <name val="Aptos"/>
      <family val="2"/>
    </font>
    <font>
      <sz val="9"/>
      <color rgb="FFFFF7FD"/>
      <name val="Aptos"/>
      <family val="2"/>
    </font>
    <font>
      <sz val="11"/>
      <color rgb="FFFF4FB8"/>
      <name val="Aptos"/>
      <family val="2"/>
    </font>
    <font>
      <b/>
      <sz val="11"/>
      <color rgb="FFFF4FB8"/>
      <name val="Aptos"/>
      <family val="2"/>
    </font>
    <font>
      <b/>
      <i/>
      <sz val="11"/>
      <color rgb="FFFF4FB8"/>
      <name val="Aptos"/>
      <family val="2"/>
    </font>
    <font>
      <i/>
      <sz val="11"/>
      <color rgb="FF58FCEC"/>
      <name val="Aptos"/>
      <family val="2"/>
    </font>
    <font>
      <b/>
      <i/>
      <sz val="11"/>
      <color rgb="FF58FCEC"/>
      <name val="Aptos"/>
      <family val="2"/>
    </font>
    <font>
      <sz val="11"/>
      <color rgb="FFFFD166"/>
      <name val="Aptos"/>
      <family val="2"/>
    </font>
    <font>
      <sz val="11"/>
      <color rgb="FF7DFFC2"/>
      <name val="Aptos"/>
      <family val="2"/>
    </font>
    <font>
      <sz val="11"/>
      <color rgb="FF58FCEC"/>
      <name val="Aptos"/>
    </font>
    <font>
      <sz val="11"/>
      <color rgb="FFB77CFF"/>
      <name val="Aptos"/>
    </font>
    <font>
      <sz val="11"/>
      <color rgb="FFFFF7FD"/>
      <name val="Aptos"/>
    </font>
    <font>
      <sz val="11"/>
      <color rgb="FFFFD166"/>
      <name val="Aptos"/>
    </font>
    <font>
      <b/>
      <sz val="11"/>
      <color rgb="FFFFF7FD"/>
      <name val="Aptos"/>
    </font>
    <font>
      <b/>
      <sz val="11"/>
      <color rgb="FF0B0612"/>
      <name val="Aptos"/>
    </font>
    <font>
      <b/>
      <sz val="18"/>
      <color rgb="FFFF4FB8"/>
      <name val="Aptos Narrow"/>
      <family val="2"/>
      <scheme val="minor"/>
    </font>
    <font>
      <b/>
      <sz val="11"/>
      <color rgb="FFFF4FB8"/>
      <name val="Aptos"/>
    </font>
    <font>
      <b/>
      <sz val="19"/>
      <color rgb="FFFF4FB8"/>
      <name val="Aptos"/>
    </font>
    <font>
      <i/>
      <sz val="11"/>
      <color rgb="FF58FCEC"/>
      <name val="Aptos"/>
    </font>
    <font>
      <sz val="11"/>
      <color rgb="FFC1A6BF"/>
      <name val="Aptos"/>
    </font>
    <font>
      <i/>
      <sz val="11"/>
      <color rgb="FFC1A6BF"/>
      <name val="Aptos"/>
    </font>
    <font>
      <b/>
      <sz val="11"/>
      <color rgb="FF58FCEC"/>
      <name val="Aptos"/>
    </font>
    <font>
      <b/>
      <sz val="12"/>
      <color rgb="FF58FCEC"/>
      <name val="Aptos"/>
    </font>
    <font>
      <sz val="10"/>
      <color rgb="FFFFF7FD"/>
      <name val="Aptos"/>
    </font>
    <font>
      <b/>
      <sz val="22"/>
      <color rgb="FF58FCEC"/>
      <name val="Aptos"/>
    </font>
    <font>
      <b/>
      <sz val="11"/>
      <color rgb="FF7DFFC2"/>
      <name val="Aptos"/>
    </font>
    <font>
      <b/>
      <sz val="19"/>
      <color rgb="FF140A1C"/>
      <name val="Aptos"/>
    </font>
    <font>
      <i/>
      <sz val="10"/>
      <color rgb="FFC1A6BF"/>
      <name val="Aptos"/>
    </font>
    <font>
      <b/>
      <sz val="16"/>
      <color rgb="FF140A1C"/>
      <name val="Aptos"/>
    </font>
    <font>
      <b/>
      <sz val="10"/>
      <color rgb="FFFFF7FD"/>
      <name val="Aptos"/>
    </font>
    <font>
      <i/>
      <sz val="11"/>
      <color rgb="FFFFF7FD"/>
      <name val="Aptos"/>
    </font>
    <font>
      <b/>
      <sz val="13"/>
      <color rgb="FF140A1C"/>
      <name val="Aptos"/>
    </font>
    <font>
      <b/>
      <sz val="10"/>
      <color rgb="FF58FCEC"/>
      <name val="Aptos"/>
    </font>
    <font>
      <i/>
      <sz val="10"/>
      <color rgb="FFFFF7FD"/>
      <name val="Aptos"/>
    </font>
    <font>
      <b/>
      <sz val="13"/>
      <color rgb="FF0B0612"/>
      <name val="Aptos"/>
    </font>
    <font>
      <b/>
      <u/>
      <sz val="11"/>
      <color rgb="FFFF4FB8"/>
      <name val="Aptos"/>
    </font>
    <font>
      <b/>
      <u/>
      <sz val="11"/>
      <color rgb="FF58FCEC"/>
      <name val="Aptos"/>
    </font>
    <font>
      <b/>
      <u/>
      <sz val="11"/>
      <color rgb="FF58FCEC"/>
      <name val="Aptos Narrow"/>
      <family val="2"/>
      <scheme val="minor"/>
    </font>
    <font>
      <b/>
      <sz val="14"/>
      <color rgb="FF58FCEC"/>
      <name val="Aptos"/>
    </font>
    <font>
      <b/>
      <sz val="13"/>
      <color rgb="FFFF4FB8"/>
      <name val="Aptos"/>
    </font>
    <font>
      <b/>
      <sz val="11"/>
      <color rgb="FFFFD166"/>
      <name val="Aptos"/>
    </font>
    <font>
      <b/>
      <sz val="19"/>
      <color rgb="FFFFF7FD"/>
      <name val="Aptos"/>
    </font>
    <font>
      <b/>
      <u/>
      <sz val="11"/>
      <color rgb="FFFFF7FD"/>
      <name val="Aptos"/>
    </font>
    <font>
      <i/>
      <sz val="10"/>
      <color rgb="FF58FCEC"/>
      <name val="Aptos"/>
    </font>
    <font>
      <b/>
      <i/>
      <sz val="11"/>
      <color rgb="FF0B0612"/>
      <name val="Aptos"/>
    </font>
  </fonts>
  <fills count="28">
    <fill>
      <patternFill patternType="none"/>
    </fill>
    <fill>
      <patternFill patternType="gray125"/>
    </fill>
    <fill>
      <patternFill patternType="solid">
        <fgColor rgb="FF00E5FF"/>
        <bgColor indexed="64"/>
      </patternFill>
    </fill>
    <fill>
      <patternFill patternType="solid">
        <fgColor rgb="FF8B5CF6"/>
        <bgColor indexed="64"/>
      </patternFill>
    </fill>
    <fill>
      <patternFill patternType="solid">
        <fgColor rgb="FF050711"/>
        <bgColor indexed="64"/>
      </patternFill>
    </fill>
    <fill>
      <patternFill patternType="solid">
        <fgColor rgb="FF0D1220"/>
        <bgColor indexed="64"/>
      </patternFill>
    </fill>
    <fill>
      <patternFill patternType="solid">
        <fgColor rgb="FF050812"/>
        <bgColor indexed="64"/>
      </patternFill>
    </fill>
    <fill>
      <patternFill patternType="solid">
        <fgColor rgb="FFFF2D95"/>
        <bgColor indexed="64"/>
      </patternFill>
    </fill>
    <fill>
      <patternFill patternType="solid">
        <fgColor rgb="FF7C3AED"/>
        <bgColor indexed="64"/>
      </patternFill>
    </fill>
    <fill>
      <patternFill patternType="solid">
        <fgColor rgb="FF0C1424"/>
        <bgColor indexed="64"/>
      </patternFill>
    </fill>
    <fill>
      <patternFill patternType="solid">
        <fgColor rgb="FF030712"/>
        <bgColor indexed="64"/>
      </patternFill>
    </fill>
    <fill>
      <patternFill patternType="solid">
        <fgColor rgb="FF00FFB2"/>
        <bgColor indexed="64"/>
      </patternFill>
    </fill>
    <fill>
      <patternFill patternType="solid">
        <fgColor rgb="FFFFB000"/>
        <bgColor indexed="64"/>
      </patternFill>
    </fill>
    <fill>
      <patternFill patternType="solid">
        <fgColor rgb="FF00A3FF"/>
        <bgColor indexed="64"/>
      </patternFill>
    </fill>
    <fill>
      <patternFill patternType="solid">
        <fgColor rgb="FF101827"/>
        <bgColor indexed="64"/>
      </patternFill>
    </fill>
    <fill>
      <patternFill patternType="solid">
        <fgColor rgb="FF070515"/>
        <bgColor indexed="64"/>
      </patternFill>
    </fill>
    <fill>
      <patternFill patternType="solid">
        <fgColor rgb="FFD8FF3E"/>
        <bgColor indexed="64"/>
      </patternFill>
    </fill>
    <fill>
      <patternFill patternType="solid">
        <fgColor rgb="FF22D3EE"/>
        <bgColor indexed="64"/>
      </patternFill>
    </fill>
    <fill>
      <patternFill patternType="solid">
        <fgColor rgb="FF15102B"/>
        <bgColor indexed="64"/>
      </patternFill>
    </fill>
    <fill>
      <patternFill patternType="solid">
        <fgColor rgb="FF0B0612"/>
        <bgColor indexed="64"/>
      </patternFill>
    </fill>
    <fill>
      <patternFill patternType="solid">
        <fgColor rgb="FFFF4FB8"/>
        <bgColor indexed="64"/>
      </patternFill>
    </fill>
    <fill>
      <patternFill patternType="solid">
        <fgColor rgb="FF58FCEC"/>
        <bgColor indexed="64"/>
      </patternFill>
    </fill>
    <fill>
      <patternFill patternType="solid">
        <fgColor rgb="FFB77CFF"/>
        <bgColor indexed="64"/>
      </patternFill>
    </fill>
    <fill>
      <patternFill patternType="solid">
        <fgColor rgb="FF1A0F24"/>
        <bgColor indexed="64"/>
      </patternFill>
    </fill>
    <fill>
      <patternFill patternType="solid">
        <fgColor rgb="FF241331"/>
        <bgColor indexed="64"/>
      </patternFill>
    </fill>
    <fill>
      <patternFill patternType="solid">
        <fgColor rgb="FF21152D"/>
        <bgColor indexed="64"/>
      </patternFill>
    </fill>
    <fill>
      <patternFill patternType="solid">
        <fgColor rgb="FF2E1C3D"/>
        <bgColor indexed="64"/>
      </patternFill>
    </fill>
    <fill>
      <patternFill patternType="solid">
        <fgColor rgb="FFFFD166"/>
        <bgColor indexed="64"/>
      </patternFill>
    </fill>
  </fills>
  <borders count="15">
    <border>
      <left/>
      <right/>
      <top/>
      <bottom/>
      <diagonal/>
    </border>
    <border>
      <left/>
      <right/>
      <top/>
      <bottom style="thick">
        <color rgb="FFFF4FB8"/>
      </bottom>
      <diagonal/>
    </border>
    <border>
      <left/>
      <right/>
      <top style="thin">
        <color rgb="FFB77CFF"/>
      </top>
      <bottom style="thin">
        <color rgb="FFB77CFF"/>
      </bottom>
      <diagonal/>
    </border>
    <border>
      <left style="thin">
        <color rgb="FFB77CFF"/>
      </left>
      <right/>
      <top style="thin">
        <color rgb="FFB77CFF"/>
      </top>
      <bottom style="thin">
        <color rgb="FFB77CFF"/>
      </bottom>
      <diagonal/>
    </border>
    <border>
      <left/>
      <right style="thin">
        <color rgb="FFB77CFF"/>
      </right>
      <top style="thin">
        <color rgb="FFB77CFF"/>
      </top>
      <bottom style="thin">
        <color rgb="FFB77CFF"/>
      </bottom>
      <diagonal/>
    </border>
    <border>
      <left/>
      <right/>
      <top style="thin">
        <color rgb="FF58FCEC"/>
      </top>
      <bottom/>
      <diagonal/>
    </border>
    <border>
      <left/>
      <right/>
      <top style="thin">
        <color rgb="FFFF4FB8"/>
      </top>
      <bottom style="thin">
        <color rgb="FFFF4FB8"/>
      </bottom>
      <diagonal/>
    </border>
    <border>
      <left style="thin">
        <color rgb="FFFF4FB8"/>
      </left>
      <right/>
      <top style="thin">
        <color rgb="FFFF4FB8"/>
      </top>
      <bottom style="thin">
        <color rgb="FFFF4FB8"/>
      </bottom>
      <diagonal/>
    </border>
    <border>
      <left/>
      <right style="thin">
        <color rgb="FFFF4FB8"/>
      </right>
      <top style="thin">
        <color rgb="FFFF4FB8"/>
      </top>
      <bottom style="thin">
        <color rgb="FFFF4FB8"/>
      </bottom>
      <diagonal/>
    </border>
    <border>
      <left/>
      <right/>
      <top style="thick">
        <color rgb="FFFF4FB8"/>
      </top>
      <bottom/>
      <diagonal/>
    </border>
    <border>
      <left style="thick">
        <color rgb="FF58FCEC"/>
      </left>
      <right/>
      <top/>
      <bottom/>
      <diagonal/>
    </border>
    <border>
      <left style="thick">
        <color rgb="FFB77CFF"/>
      </left>
      <right/>
      <top/>
      <bottom/>
      <diagonal/>
    </border>
    <border>
      <left/>
      <right style="thin">
        <color indexed="64"/>
      </right>
      <top/>
      <bottom/>
      <diagonal/>
    </border>
    <border>
      <left/>
      <right/>
      <top/>
      <bottom style="thin">
        <color rgb="FF39284A"/>
      </bottom>
      <diagonal/>
    </border>
    <border>
      <left style="thin">
        <color rgb="FFB77CFF"/>
      </left>
      <right/>
      <top/>
      <bottom/>
      <diagonal/>
    </border>
  </borders>
  <cellStyleXfs count="2">
    <xf numFmtId="0" fontId="0" fillId="0" borderId="0"/>
    <xf numFmtId="0" fontId="2" fillId="0" borderId="0" applyNumberFormat="0" applyFill="0" applyBorder="0" applyAlignment="0" applyProtection="0"/>
  </cellStyleXfs>
  <cellXfs count="255">
    <xf numFmtId="0" fontId="0" fillId="0" borderId="0" xfId="0"/>
    <xf numFmtId="0" fontId="0" fillId="0" borderId="0" xfId="0" applyAlignment="1">
      <alignment wrapText="1"/>
    </xf>
    <xf numFmtId="0" fontId="0" fillId="0" borderId="0" xfId="0" applyAlignment="1">
      <alignment horizontal="center" vertical="center"/>
    </xf>
    <xf numFmtId="0" fontId="8" fillId="6" borderId="0" xfId="0" applyFont="1" applyFill="1"/>
    <xf numFmtId="0" fontId="9" fillId="7" borderId="0" xfId="0" applyFont="1" applyFill="1" applyAlignment="1">
      <alignment horizontal="center"/>
    </xf>
    <xf numFmtId="0" fontId="9" fillId="2" borderId="0" xfId="0" applyFont="1" applyFill="1" applyAlignment="1">
      <alignment horizontal="center"/>
    </xf>
    <xf numFmtId="0" fontId="9" fillId="8" borderId="0" xfId="0" applyFont="1" applyFill="1" applyAlignment="1">
      <alignment horizontal="center"/>
    </xf>
    <xf numFmtId="0" fontId="13" fillId="9" borderId="0" xfId="0" applyFont="1" applyFill="1" applyAlignment="1">
      <alignment horizontal="center"/>
    </xf>
    <xf numFmtId="0" fontId="8" fillId="9" borderId="0" xfId="0" applyFont="1" applyFill="1" applyAlignment="1">
      <alignment horizontal="center"/>
    </xf>
    <xf numFmtId="0" fontId="11" fillId="9" borderId="0" xfId="0" applyFont="1" applyFill="1" applyAlignment="1">
      <alignment horizontal="center"/>
    </xf>
    <xf numFmtId="0" fontId="14" fillId="10" borderId="0" xfId="0" applyFont="1" applyFill="1"/>
    <xf numFmtId="0" fontId="15" fillId="12" borderId="0" xfId="0" applyFont="1" applyFill="1" applyAlignment="1">
      <alignment horizontal="center"/>
    </xf>
    <xf numFmtId="0" fontId="15" fillId="11" borderId="0" xfId="0" applyFont="1" applyFill="1" applyAlignment="1">
      <alignment horizontal="center"/>
    </xf>
    <xf numFmtId="0" fontId="15" fillId="13" borderId="0" xfId="0" applyFont="1" applyFill="1" applyAlignment="1">
      <alignment horizontal="center"/>
    </xf>
    <xf numFmtId="0" fontId="20" fillId="14" borderId="0" xfId="0" applyFont="1" applyFill="1" applyAlignment="1">
      <alignment horizontal="center"/>
    </xf>
    <xf numFmtId="0" fontId="14" fillId="14" borderId="0" xfId="0" applyFont="1" applyFill="1" applyAlignment="1">
      <alignment horizontal="center"/>
    </xf>
    <xf numFmtId="0" fontId="17" fillId="14" borderId="0" xfId="0" applyFont="1" applyFill="1" applyAlignment="1">
      <alignment horizontal="center"/>
    </xf>
    <xf numFmtId="0" fontId="21" fillId="15" borderId="0" xfId="0" applyFont="1" applyFill="1"/>
    <xf numFmtId="0" fontId="22" fillId="16" borderId="0" xfId="0" applyFont="1" applyFill="1" applyAlignment="1">
      <alignment horizontal="center"/>
    </xf>
    <xf numFmtId="0" fontId="22" fillId="3" borderId="0" xfId="0" applyFont="1" applyFill="1" applyAlignment="1">
      <alignment horizontal="center"/>
    </xf>
    <xf numFmtId="0" fontId="22" fillId="17" borderId="0" xfId="0" applyFont="1" applyFill="1" applyAlignment="1">
      <alignment horizontal="center"/>
    </xf>
    <xf numFmtId="0" fontId="27" fillId="18" borderId="0" xfId="0" applyFont="1" applyFill="1" applyAlignment="1">
      <alignment horizontal="center"/>
    </xf>
    <xf numFmtId="0" fontId="21" fillId="18" borderId="0" xfId="0" applyFont="1" applyFill="1" applyAlignment="1">
      <alignment horizontal="center"/>
    </xf>
    <xf numFmtId="0" fontId="24" fillId="18" borderId="0" xfId="0" applyFont="1" applyFill="1" applyAlignment="1">
      <alignment horizontal="center"/>
    </xf>
    <xf numFmtId="0" fontId="28" fillId="19" borderId="0" xfId="0" applyFont="1" applyFill="1"/>
    <xf numFmtId="0" fontId="29" fillId="21" borderId="0" xfId="0" applyFont="1" applyFill="1" applyAlignment="1">
      <alignment horizontal="center"/>
    </xf>
    <xf numFmtId="0" fontId="29" fillId="20" borderId="0" xfId="0" applyFont="1" applyFill="1" applyAlignment="1">
      <alignment horizontal="center"/>
    </xf>
    <xf numFmtId="0" fontId="29" fillId="22" borderId="0" xfId="0" applyFont="1" applyFill="1" applyAlignment="1">
      <alignment horizontal="center"/>
    </xf>
    <xf numFmtId="0" fontId="35" fillId="23" borderId="0" xfId="0" applyFont="1" applyFill="1" applyAlignment="1">
      <alignment horizontal="center"/>
    </xf>
    <xf numFmtId="0" fontId="28" fillId="23" borderId="0" xfId="0" applyFont="1" applyFill="1" applyAlignment="1">
      <alignment horizontal="center"/>
    </xf>
    <xf numFmtId="0" fontId="31" fillId="23" borderId="0" xfId="0" applyFont="1" applyFill="1" applyAlignment="1">
      <alignment horizontal="center"/>
    </xf>
    <xf numFmtId="0" fontId="36" fillId="19" borderId="0" xfId="0" applyFont="1" applyFill="1"/>
    <xf numFmtId="0" fontId="36" fillId="19" borderId="0" xfId="0" applyFont="1" applyFill="1" applyAlignment="1">
      <alignment vertical="top"/>
    </xf>
    <xf numFmtId="0" fontId="36" fillId="19" borderId="0" xfId="0" applyFont="1" applyFill="1" applyAlignment="1">
      <alignment vertical="top" wrapText="1"/>
    </xf>
    <xf numFmtId="0" fontId="39" fillId="19" borderId="1" xfId="0" applyFont="1" applyFill="1" applyBorder="1" applyAlignment="1">
      <alignment vertical="top"/>
    </xf>
    <xf numFmtId="0" fontId="40" fillId="23" borderId="0" xfId="0" applyFont="1" applyFill="1" applyAlignment="1">
      <alignment vertical="top" wrapText="1"/>
    </xf>
    <xf numFmtId="0" fontId="36" fillId="23" borderId="0" xfId="0" applyFont="1" applyFill="1" applyAlignment="1">
      <alignment vertical="top" wrapText="1"/>
    </xf>
    <xf numFmtId="0" fontId="44" fillId="24" borderId="0" xfId="0" applyFont="1" applyFill="1" applyAlignment="1">
      <alignment vertical="top" wrapText="1"/>
    </xf>
    <xf numFmtId="0" fontId="37" fillId="19" borderId="0" xfId="0" applyFont="1" applyFill="1" applyAlignment="1">
      <alignment vertical="top" wrapText="1"/>
    </xf>
    <xf numFmtId="0" fontId="43" fillId="20" borderId="0" xfId="0" applyFont="1" applyFill="1" applyAlignment="1">
      <alignment vertical="center"/>
    </xf>
    <xf numFmtId="0" fontId="43" fillId="22" borderId="0" xfId="0" applyFont="1" applyFill="1" applyAlignment="1">
      <alignment horizontal="center" vertical="top" wrapText="1"/>
    </xf>
    <xf numFmtId="0" fontId="43" fillId="22" borderId="6" xfId="0" applyFont="1" applyFill="1" applyBorder="1" applyAlignment="1">
      <alignment horizontal="center" vertical="center" wrapText="1"/>
    </xf>
    <xf numFmtId="0" fontId="43" fillId="22" borderId="7" xfId="0" applyFont="1" applyFill="1" applyBorder="1" applyAlignment="1">
      <alignment horizontal="center" vertical="center" wrapText="1"/>
    </xf>
    <xf numFmtId="0" fontId="43" fillId="22" borderId="8" xfId="0" applyFont="1" applyFill="1" applyBorder="1" applyAlignment="1">
      <alignment horizontal="center" vertical="center" wrapText="1"/>
    </xf>
    <xf numFmtId="0" fontId="0" fillId="23" borderId="0" xfId="0" applyFill="1" applyAlignment="1">
      <alignment vertical="top" wrapText="1"/>
    </xf>
    <xf numFmtId="0" fontId="46" fillId="23" borderId="0" xfId="0" applyFont="1" applyFill="1" applyAlignment="1">
      <alignment horizontal="center" vertical="top" wrapText="1"/>
    </xf>
    <xf numFmtId="0" fontId="41" fillId="23" borderId="0" xfId="0" applyFont="1" applyFill="1" applyAlignment="1">
      <alignment horizontal="center" vertical="top" wrapText="1"/>
    </xf>
    <xf numFmtId="0" fontId="47" fillId="23" borderId="0" xfId="0" applyFont="1" applyFill="1" applyAlignment="1">
      <alignment vertical="top" wrapText="1"/>
    </xf>
    <xf numFmtId="0" fontId="34" fillId="23" borderId="0" xfId="0" applyFont="1" applyFill="1" applyAlignment="1">
      <alignment vertical="top" wrapText="1"/>
    </xf>
    <xf numFmtId="0" fontId="43" fillId="22" borderId="6" xfId="0" applyFont="1" applyFill="1" applyBorder="1" applyAlignment="1">
      <alignment horizontal="center" vertical="center"/>
    </xf>
    <xf numFmtId="0" fontId="43" fillId="22" borderId="7" xfId="0" applyFont="1" applyFill="1" applyBorder="1" applyAlignment="1">
      <alignment horizontal="center" vertical="center"/>
    </xf>
    <xf numFmtId="0" fontId="43" fillId="22" borderId="8" xfId="0" applyFont="1" applyFill="1" applyBorder="1" applyAlignment="1">
      <alignment horizontal="center" vertical="center"/>
    </xf>
    <xf numFmtId="0" fontId="46" fillId="23" borderId="0" xfId="0" applyFont="1" applyFill="1" applyAlignment="1">
      <alignment vertical="top" wrapText="1"/>
    </xf>
    <xf numFmtId="0" fontId="38" fillId="19" borderId="0" xfId="0" applyFont="1" applyFill="1" applyAlignment="1">
      <alignment vertical="top" wrapText="1"/>
    </xf>
    <xf numFmtId="1" fontId="36" fillId="19" borderId="0" xfId="0" applyNumberFormat="1" applyFont="1" applyFill="1" applyAlignment="1">
      <alignment horizontal="center" vertical="top" wrapText="1"/>
    </xf>
    <xf numFmtId="0" fontId="48" fillId="19" borderId="0" xfId="1" applyFont="1" applyFill="1" applyAlignment="1">
      <alignment vertical="top" wrapText="1"/>
    </xf>
    <xf numFmtId="0" fontId="49" fillId="19" borderId="0" xfId="0" applyFont="1" applyFill="1" applyAlignment="1">
      <alignment vertical="top" wrapText="1"/>
    </xf>
    <xf numFmtId="0" fontId="50" fillId="23" borderId="0" xfId="0" applyFont="1" applyFill="1" applyAlignment="1">
      <alignment vertical="top" wrapText="1"/>
    </xf>
    <xf numFmtId="0" fontId="36" fillId="19" borderId="0" xfId="0" applyFont="1" applyFill="1" applyAlignment="1">
      <alignment wrapText="1"/>
    </xf>
    <xf numFmtId="0" fontId="42" fillId="24" borderId="0" xfId="0" applyFont="1" applyFill="1" applyAlignment="1">
      <alignment vertical="top" wrapText="1"/>
    </xf>
    <xf numFmtId="0" fontId="51" fillId="24" borderId="0" xfId="0" applyFont="1" applyFill="1" applyAlignment="1">
      <alignment vertical="top" wrapText="1"/>
    </xf>
    <xf numFmtId="0" fontId="52" fillId="24" borderId="0" xfId="0" applyFont="1" applyFill="1" applyAlignment="1">
      <alignment vertical="top" wrapText="1"/>
    </xf>
    <xf numFmtId="0" fontId="53" fillId="23" borderId="0" xfId="0" applyFont="1" applyFill="1" applyAlignment="1">
      <alignment vertical="top" wrapText="1"/>
    </xf>
    <xf numFmtId="0" fontId="54" fillId="23" borderId="0" xfId="0" applyFont="1" applyFill="1" applyAlignment="1">
      <alignment vertical="top" wrapText="1"/>
    </xf>
    <xf numFmtId="14" fontId="36" fillId="19" borderId="0" xfId="0" applyNumberFormat="1" applyFont="1" applyFill="1" applyAlignment="1">
      <alignment wrapText="1"/>
    </xf>
    <xf numFmtId="0" fontId="43" fillId="22" borderId="0" xfId="0" applyFont="1" applyFill="1" applyAlignment="1">
      <alignment wrapText="1"/>
    </xf>
    <xf numFmtId="0" fontId="46" fillId="19" borderId="0" xfId="0" applyFont="1" applyFill="1" applyAlignment="1">
      <alignment wrapText="1"/>
    </xf>
    <xf numFmtId="0" fontId="47" fillId="19" borderId="0" xfId="0" applyFont="1" applyFill="1" applyAlignment="1">
      <alignment wrapText="1"/>
    </xf>
    <xf numFmtId="0" fontId="36" fillId="24" borderId="0" xfId="0" applyFont="1" applyFill="1" applyAlignment="1">
      <alignment wrapText="1"/>
    </xf>
    <xf numFmtId="0" fontId="55" fillId="19" borderId="0" xfId="0" applyFont="1" applyFill="1" applyAlignment="1">
      <alignment wrapText="1"/>
    </xf>
    <xf numFmtId="0" fontId="50" fillId="19" borderId="0" xfId="0" applyFont="1" applyFill="1" applyAlignment="1">
      <alignment wrapText="1"/>
    </xf>
    <xf numFmtId="0" fontId="56" fillId="19" borderId="0" xfId="0" applyFont="1" applyFill="1" applyAlignment="1">
      <alignment wrapText="1"/>
    </xf>
    <xf numFmtId="164" fontId="46" fillId="19" borderId="0" xfId="0" applyNumberFormat="1" applyFont="1" applyFill="1" applyAlignment="1">
      <alignment wrapText="1"/>
    </xf>
    <xf numFmtId="0" fontId="57" fillId="19" borderId="0" xfId="0" applyFont="1" applyFill="1" applyAlignment="1">
      <alignment wrapText="1"/>
    </xf>
    <xf numFmtId="0" fontId="58" fillId="19" borderId="0" xfId="0" applyFont="1" applyFill="1" applyAlignment="1">
      <alignment wrapText="1"/>
    </xf>
    <xf numFmtId="0" fontId="59" fillId="19" borderId="0" xfId="0" applyFont="1" applyFill="1" applyAlignment="1">
      <alignment wrapText="1"/>
    </xf>
    <xf numFmtId="0" fontId="59" fillId="24" borderId="0" xfId="0" applyFont="1" applyFill="1" applyAlignment="1">
      <alignment wrapText="1"/>
    </xf>
    <xf numFmtId="14" fontId="59" fillId="19" borderId="0" xfId="0" applyNumberFormat="1" applyFont="1" applyFill="1" applyAlignment="1">
      <alignment wrapText="1"/>
    </xf>
    <xf numFmtId="0" fontId="60" fillId="19" borderId="0" xfId="0" applyFont="1" applyFill="1" applyAlignment="1">
      <alignment wrapText="1"/>
    </xf>
    <xf numFmtId="0" fontId="43" fillId="20" borderId="0" xfId="0" applyFont="1" applyFill="1" applyAlignment="1">
      <alignment vertical="center" wrapText="1"/>
    </xf>
    <xf numFmtId="164" fontId="57" fillId="19" borderId="0" xfId="0" applyNumberFormat="1" applyFont="1" applyFill="1" applyAlignment="1">
      <alignment wrapText="1"/>
    </xf>
    <xf numFmtId="0" fontId="59" fillId="19" borderId="0" xfId="0" applyFont="1" applyFill="1" applyAlignment="1">
      <alignment vertical="top" wrapText="1"/>
    </xf>
    <xf numFmtId="0" fontId="62" fillId="22" borderId="0" xfId="0" applyFont="1" applyFill="1" applyAlignment="1">
      <alignment wrapText="1"/>
    </xf>
    <xf numFmtId="0" fontId="29" fillId="22" borderId="0" xfId="0" applyFont="1" applyFill="1" applyAlignment="1">
      <alignment horizontal="center" wrapText="1"/>
    </xf>
    <xf numFmtId="0" fontId="0" fillId="0" borderId="0" xfId="0" applyAlignment="1">
      <alignment horizontal="center"/>
    </xf>
    <xf numFmtId="0" fontId="59" fillId="19" borderId="0" xfId="0" applyFont="1" applyFill="1" applyAlignment="1">
      <alignment vertical="center" wrapText="1"/>
    </xf>
    <xf numFmtId="0" fontId="62" fillId="20" borderId="0" xfId="0" applyFont="1" applyFill="1" applyAlignment="1">
      <alignment vertical="center" wrapText="1"/>
    </xf>
    <xf numFmtId="0" fontId="72" fillId="24" borderId="3" xfId="0" applyFont="1" applyFill="1" applyBorder="1" applyAlignment="1">
      <alignment horizontal="center" vertical="center" wrapText="1"/>
    </xf>
    <xf numFmtId="0" fontId="72" fillId="24" borderId="4" xfId="0" applyFont="1" applyFill="1" applyBorder="1" applyAlignment="1">
      <alignment horizontal="center" vertical="center" wrapText="1"/>
    </xf>
    <xf numFmtId="0" fontId="68" fillId="23" borderId="0" xfId="0" applyFont="1" applyFill="1" applyAlignment="1">
      <alignment horizontal="center" vertical="top" wrapText="1"/>
    </xf>
    <xf numFmtId="0" fontId="67" fillId="23" borderId="0" xfId="0" applyFont="1" applyFill="1" applyAlignment="1">
      <alignment vertical="top" wrapText="1"/>
    </xf>
    <xf numFmtId="0" fontId="69" fillId="23" borderId="0" xfId="0" applyFont="1" applyFill="1" applyAlignment="1">
      <alignment vertical="top" wrapText="1"/>
    </xf>
    <xf numFmtId="0" fontId="73" fillId="23" borderId="0" xfId="0" applyFont="1" applyFill="1" applyAlignment="1">
      <alignment vertical="top" wrapText="1"/>
    </xf>
    <xf numFmtId="0" fontId="59" fillId="23" borderId="12" xfId="0" applyFont="1" applyFill="1" applyBorder="1" applyAlignment="1">
      <alignment vertical="center" wrapText="1"/>
    </xf>
    <xf numFmtId="0" fontId="69" fillId="23" borderId="10" xfId="0" applyFont="1" applyFill="1" applyBorder="1" applyAlignment="1">
      <alignment vertical="center" wrapText="1"/>
    </xf>
    <xf numFmtId="0" fontId="77" fillId="25" borderId="0" xfId="0" applyFont="1" applyFill="1" applyAlignment="1">
      <alignment horizontal="center" vertical="center" wrapText="1"/>
    </xf>
    <xf numFmtId="0" fontId="77" fillId="26" borderId="0" xfId="0" applyFont="1" applyFill="1" applyAlignment="1">
      <alignment horizontal="center" vertical="center" wrapText="1"/>
    </xf>
    <xf numFmtId="0" fontId="80" fillId="25" borderId="0" xfId="0" applyFont="1" applyFill="1" applyAlignment="1">
      <alignment horizontal="center" vertical="center" wrapText="1"/>
    </xf>
    <xf numFmtId="0" fontId="59" fillId="23" borderId="0" xfId="0" applyFont="1" applyFill="1" applyAlignment="1">
      <alignment vertical="top" wrapText="1"/>
    </xf>
    <xf numFmtId="0" fontId="67" fillId="24" borderId="0" xfId="0" applyFont="1" applyFill="1" applyAlignment="1">
      <alignment vertical="top" wrapText="1"/>
    </xf>
    <xf numFmtId="0" fontId="69" fillId="24" borderId="0" xfId="0" applyFont="1" applyFill="1" applyAlignment="1">
      <alignment vertical="top" wrapText="1"/>
    </xf>
    <xf numFmtId="0" fontId="83" fillId="24" borderId="0" xfId="0" applyFont="1" applyFill="1" applyAlignment="1">
      <alignment vertical="top" wrapText="1"/>
    </xf>
    <xf numFmtId="0" fontId="62" fillId="22" borderId="0" xfId="0" applyFont="1" applyFill="1" applyAlignment="1">
      <alignment vertical="top" wrapText="1"/>
    </xf>
    <xf numFmtId="0" fontId="69" fillId="23" borderId="11" xfId="0" applyFont="1" applyFill="1" applyBorder="1" applyAlignment="1">
      <alignment vertical="center" wrapText="1"/>
    </xf>
    <xf numFmtId="0" fontId="65" fillId="19" borderId="0" xfId="0" applyFont="1" applyFill="1" applyAlignment="1">
      <alignment horizontal="center" vertical="center" wrapText="1"/>
    </xf>
    <xf numFmtId="0" fontId="70" fillId="24" borderId="0" xfId="0" applyFont="1" applyFill="1" applyAlignment="1">
      <alignment horizontal="center" vertical="center" wrapText="1"/>
    </xf>
    <xf numFmtId="0" fontId="81" fillId="23" borderId="0" xfId="0" applyFont="1" applyFill="1" applyAlignment="1">
      <alignment horizontal="center" vertical="center" wrapText="1"/>
    </xf>
    <xf numFmtId="0" fontId="71" fillId="23" borderId="0" xfId="0" applyFont="1" applyFill="1" applyAlignment="1">
      <alignment horizontal="center" vertical="center" wrapText="1"/>
    </xf>
    <xf numFmtId="0" fontId="77" fillId="25" borderId="5" xfId="0" applyFont="1" applyFill="1" applyBorder="1" applyAlignment="1">
      <alignment horizontal="center" vertical="center" wrapText="1"/>
    </xf>
    <xf numFmtId="0" fontId="62" fillId="20" borderId="0" xfId="0" applyFont="1" applyFill="1" applyAlignment="1">
      <alignment vertical="top" wrapText="1"/>
    </xf>
    <xf numFmtId="0" fontId="62" fillId="20" borderId="0" xfId="0" applyFont="1" applyFill="1" applyAlignment="1">
      <alignment horizontal="center" wrapText="1"/>
    </xf>
    <xf numFmtId="0" fontId="82" fillId="20" borderId="0" xfId="0" applyFont="1" applyFill="1" applyAlignment="1">
      <alignment wrapText="1"/>
    </xf>
    <xf numFmtId="0" fontId="62" fillId="20" borderId="0" xfId="0" applyFont="1" applyFill="1" applyAlignment="1">
      <alignment wrapText="1"/>
    </xf>
    <xf numFmtId="0" fontId="74" fillId="20" borderId="1" xfId="0" applyFont="1" applyFill="1" applyBorder="1" applyAlignment="1">
      <alignment horizontal="center" vertical="top" wrapText="1"/>
    </xf>
    <xf numFmtId="0" fontId="75" fillId="23" borderId="9" xfId="0" applyFont="1" applyFill="1" applyBorder="1" applyAlignment="1">
      <alignment vertical="top" wrapText="1"/>
    </xf>
    <xf numFmtId="0" fontId="76" fillId="20" borderId="0" xfId="0" applyFont="1" applyFill="1" applyAlignment="1">
      <alignment horizontal="center" vertical="center" wrapText="1"/>
    </xf>
    <xf numFmtId="0" fontId="78" fillId="25" borderId="0" xfId="0" applyFont="1" applyFill="1" applyAlignment="1">
      <alignment horizontal="left" vertical="center" wrapText="1"/>
    </xf>
    <xf numFmtId="0" fontId="79" fillId="20" borderId="0" xfId="0" applyFont="1" applyFill="1" applyAlignment="1">
      <alignment horizontal="center" vertical="center" wrapText="1"/>
    </xf>
    <xf numFmtId="0" fontId="62" fillId="22" borderId="0" xfId="0" applyFont="1" applyFill="1" applyAlignment="1">
      <alignment vertical="top" wrapText="1"/>
    </xf>
    <xf numFmtId="0" fontId="64" fillId="22" borderId="0" xfId="0" applyFont="1" applyFill="1" applyAlignment="1">
      <alignment vertical="top" wrapText="1"/>
    </xf>
    <xf numFmtId="0" fontId="59" fillId="23" borderId="0" xfId="0" applyFont="1" applyFill="1" applyAlignment="1">
      <alignment vertical="center" wrapText="1"/>
    </xf>
    <xf numFmtId="0" fontId="29" fillId="21" borderId="0" xfId="0" applyFont="1" applyFill="1"/>
    <xf numFmtId="0" fontId="0" fillId="21" borderId="0" xfId="0" applyFill="1"/>
    <xf numFmtId="0" fontId="29" fillId="22" borderId="0" xfId="0" applyFont="1" applyFill="1"/>
    <xf numFmtId="0" fontId="0" fillId="22" borderId="0" xfId="0" applyFill="1"/>
    <xf numFmtId="0" fontId="29" fillId="11" borderId="0" xfId="0" applyFont="1" applyFill="1"/>
    <xf numFmtId="0" fontId="0" fillId="11" borderId="0" xfId="0" applyFill="1"/>
    <xf numFmtId="0" fontId="29" fillId="27" borderId="0" xfId="0" applyFont="1" applyFill="1"/>
    <xf numFmtId="0" fontId="0" fillId="27" borderId="0" xfId="0" applyFill="1"/>
    <xf numFmtId="0" fontId="35" fillId="24" borderId="0" xfId="0" applyFont="1" applyFill="1"/>
    <xf numFmtId="0" fontId="0" fillId="24" borderId="0" xfId="0" applyFill="1"/>
    <xf numFmtId="0" fontId="85" fillId="23" borderId="0" xfId="0" applyFont="1" applyFill="1"/>
    <xf numFmtId="0" fontId="0" fillId="23" borderId="0" xfId="0" applyFill="1"/>
    <xf numFmtId="0" fontId="60" fillId="23" borderId="0" xfId="0" applyFont="1" applyFill="1" applyAlignment="1">
      <alignment vertical="center" wrapText="1"/>
    </xf>
    <xf numFmtId="0" fontId="62" fillId="22" borderId="0" xfId="0" applyFont="1" applyFill="1" applyAlignment="1">
      <alignment vertical="center" wrapText="1"/>
    </xf>
    <xf numFmtId="0" fontId="86" fillId="24" borderId="0" xfId="0" applyFont="1" applyFill="1" applyAlignment="1">
      <alignment vertical="center" wrapText="1"/>
    </xf>
    <xf numFmtId="0" fontId="59" fillId="24" borderId="0" xfId="0" applyFont="1" applyFill="1" applyAlignment="1">
      <alignment vertical="center" wrapText="1"/>
    </xf>
    <xf numFmtId="0" fontId="69" fillId="23" borderId="0" xfId="0" applyFont="1" applyFill="1" applyAlignment="1">
      <alignment vertical="center" wrapText="1"/>
    </xf>
    <xf numFmtId="0" fontId="62" fillId="20" borderId="0" xfId="0" applyFont="1" applyFill="1" applyAlignment="1">
      <alignment vertical="center" wrapText="1"/>
    </xf>
    <xf numFmtId="0" fontId="87" fillId="23" borderId="0" xfId="0" applyFont="1" applyFill="1" applyAlignment="1">
      <alignment vertical="center" wrapText="1"/>
    </xf>
    <xf numFmtId="0" fontId="68" fillId="23" borderId="0" xfId="0" applyFont="1" applyFill="1" applyAlignment="1">
      <alignment vertical="center" wrapText="1"/>
    </xf>
    <xf numFmtId="0" fontId="69" fillId="24" borderId="0" xfId="0" applyFont="1" applyFill="1" applyAlignment="1">
      <alignment vertical="center" wrapText="1"/>
    </xf>
    <xf numFmtId="0" fontId="59" fillId="19" borderId="0" xfId="0" applyFont="1" applyFill="1" applyAlignment="1">
      <alignment vertical="center" wrapText="1"/>
    </xf>
    <xf numFmtId="0" fontId="66" fillId="23" borderId="0" xfId="0" applyFont="1" applyFill="1" applyAlignment="1">
      <alignment vertical="center" wrapText="1"/>
    </xf>
    <xf numFmtId="0" fontId="39" fillId="19" borderId="1" xfId="0" applyFont="1" applyFill="1" applyBorder="1" applyAlignment="1">
      <alignment vertical="top"/>
    </xf>
    <xf numFmtId="0" fontId="40" fillId="23" borderId="0" xfId="0" applyFont="1" applyFill="1" applyAlignment="1">
      <alignment vertical="top" wrapText="1"/>
    </xf>
    <xf numFmtId="0" fontId="45" fillId="24" borderId="3" xfId="0" applyFont="1" applyFill="1" applyBorder="1" applyAlignment="1">
      <alignment vertical="center"/>
    </xf>
    <xf numFmtId="0" fontId="45" fillId="24" borderId="4" xfId="0" applyFont="1" applyFill="1" applyBorder="1" applyAlignment="1">
      <alignment vertical="center"/>
    </xf>
    <xf numFmtId="0" fontId="42" fillId="23" borderId="0" xfId="0" applyFont="1" applyFill="1" applyAlignment="1">
      <alignment vertical="top" wrapText="1"/>
    </xf>
    <xf numFmtId="0" fontId="85" fillId="19" borderId="0" xfId="0" applyFont="1" applyFill="1"/>
    <xf numFmtId="0" fontId="45" fillId="24" borderId="2" xfId="0" applyFont="1" applyFill="1" applyBorder="1" applyAlignment="1">
      <alignment vertical="center"/>
    </xf>
    <xf numFmtId="0" fontId="44" fillId="24" borderId="0" xfId="0" applyFont="1" applyFill="1" applyAlignment="1">
      <alignment vertical="top" wrapText="1"/>
    </xf>
    <xf numFmtId="0" fontId="43" fillId="20" borderId="0" xfId="0" applyFont="1" applyFill="1" applyAlignment="1">
      <alignment vertical="top" wrapText="1"/>
    </xf>
    <xf numFmtId="0" fontId="36" fillId="19" borderId="0" xfId="0" applyFont="1" applyFill="1" applyAlignment="1">
      <alignment vertical="top" wrapText="1"/>
    </xf>
    <xf numFmtId="0" fontId="39" fillId="19" borderId="1" xfId="0" applyFont="1" applyFill="1" applyBorder="1" applyAlignment="1">
      <alignment vertical="top" wrapText="1"/>
    </xf>
    <xf numFmtId="0" fontId="45" fillId="24" borderId="3" xfId="0" applyFont="1" applyFill="1" applyBorder="1" applyAlignment="1">
      <alignment vertical="center" wrapText="1"/>
    </xf>
    <xf numFmtId="0" fontId="45" fillId="24" borderId="2" xfId="0" applyFont="1" applyFill="1" applyBorder="1" applyAlignment="1">
      <alignment vertical="center" wrapText="1"/>
    </xf>
    <xf numFmtId="0" fontId="45" fillId="24" borderId="4" xfId="0" applyFont="1" applyFill="1" applyBorder="1" applyAlignment="1">
      <alignment vertical="center" wrapText="1"/>
    </xf>
    <xf numFmtId="0" fontId="39" fillId="19" borderId="1" xfId="0" applyFont="1" applyFill="1" applyBorder="1" applyAlignment="1">
      <alignment wrapText="1"/>
    </xf>
    <xf numFmtId="0" fontId="42" fillId="23" borderId="0" xfId="0" applyFont="1" applyFill="1" applyAlignment="1">
      <alignment wrapText="1"/>
    </xf>
    <xf numFmtId="0" fontId="39" fillId="19" borderId="1" xfId="0" applyFont="1" applyFill="1" applyBorder="1"/>
    <xf numFmtId="0" fontId="14" fillId="14" borderId="0" xfId="0" applyFont="1" applyFill="1" applyAlignment="1">
      <alignment vertical="center" wrapText="1"/>
    </xf>
    <xf numFmtId="0" fontId="21" fillId="18" borderId="0" xfId="0" applyFont="1" applyFill="1" applyAlignment="1">
      <alignment vertical="center" wrapText="1"/>
    </xf>
    <xf numFmtId="0" fontId="28" fillId="23" borderId="0" xfId="0" applyFont="1" applyFill="1" applyAlignment="1">
      <alignment vertical="center" wrapText="1"/>
    </xf>
    <xf numFmtId="0" fontId="35" fillId="0" borderId="0" xfId="0" applyFont="1" applyAlignment="1">
      <alignment horizontal="center"/>
    </xf>
    <xf numFmtId="0" fontId="31" fillId="23" borderId="0" xfId="0" applyFont="1" applyFill="1" applyAlignment="1">
      <alignment vertical="center" wrapText="1"/>
    </xf>
    <xf numFmtId="0" fontId="35" fillId="23" borderId="0" xfId="0" applyFont="1" applyFill="1" applyAlignment="1">
      <alignment horizontal="center"/>
    </xf>
    <xf numFmtId="0" fontId="20" fillId="14" borderId="0" xfId="0" applyFont="1" applyFill="1" applyAlignment="1">
      <alignment horizontal="center"/>
    </xf>
    <xf numFmtId="0" fontId="27" fillId="18" borderId="0" xfId="0" applyFont="1" applyFill="1" applyAlignment="1">
      <alignment horizontal="center"/>
    </xf>
    <xf numFmtId="0" fontId="4" fillId="14" borderId="0" xfId="0" applyFont="1" applyFill="1" applyAlignment="1">
      <alignment horizontal="center"/>
    </xf>
    <xf numFmtId="0" fontId="22" fillId="3" borderId="0" xfId="0" applyFont="1" applyFill="1" applyAlignment="1">
      <alignment horizontal="center"/>
    </xf>
    <xf numFmtId="0" fontId="27" fillId="0" borderId="0" xfId="0" applyFont="1" applyAlignment="1">
      <alignment horizontal="center"/>
    </xf>
    <xf numFmtId="0" fontId="24" fillId="18" borderId="0" xfId="0" applyFont="1" applyFill="1" applyAlignment="1">
      <alignment vertical="center" wrapText="1"/>
    </xf>
    <xf numFmtId="0" fontId="17" fillId="14" borderId="0" xfId="0" applyFont="1" applyFill="1" applyAlignment="1">
      <alignment vertical="center" wrapText="1"/>
    </xf>
    <xf numFmtId="0" fontId="29" fillId="20" borderId="0" xfId="0" applyFont="1" applyFill="1" applyAlignment="1">
      <alignment horizontal="center"/>
    </xf>
    <xf numFmtId="0" fontId="15" fillId="11" borderId="0" xfId="0" applyFont="1" applyFill="1" applyAlignment="1">
      <alignment horizontal="center"/>
    </xf>
    <xf numFmtId="0" fontId="20" fillId="0" borderId="0" xfId="0" applyFont="1" applyAlignment="1">
      <alignment horizontal="center"/>
    </xf>
    <xf numFmtId="0" fontId="11" fillId="9" borderId="0" xfId="0" applyFont="1" applyFill="1" applyAlignment="1">
      <alignment vertical="center" wrapText="1"/>
    </xf>
    <xf numFmtId="0" fontId="8" fillId="9" borderId="0" xfId="0" applyFont="1" applyFill="1" applyAlignment="1">
      <alignment vertical="center" wrapText="1"/>
    </xf>
    <xf numFmtId="0" fontId="13" fillId="9" borderId="0" xfId="0" applyFont="1" applyFill="1" applyAlignment="1">
      <alignment horizontal="center"/>
    </xf>
    <xf numFmtId="0" fontId="9" fillId="2" borderId="0" xfId="0" applyFont="1" applyFill="1" applyAlignment="1">
      <alignment horizontal="center"/>
    </xf>
    <xf numFmtId="0" fontId="13" fillId="0" borderId="0" xfId="0" applyFont="1" applyAlignment="1">
      <alignment horizontal="center"/>
    </xf>
    <xf numFmtId="0" fontId="5" fillId="9" borderId="0" xfId="0" applyFont="1" applyFill="1"/>
    <xf numFmtId="0" fontId="6" fillId="4" borderId="0" xfId="0" applyFont="1" applyFill="1"/>
    <xf numFmtId="0" fontId="7" fillId="5" borderId="0" xfId="0" applyFont="1" applyFill="1"/>
    <xf numFmtId="0" fontId="10" fillId="2" borderId="0" xfId="0" applyFont="1" applyFill="1"/>
    <xf numFmtId="0" fontId="12" fillId="0" borderId="0" xfId="0" applyFont="1" applyAlignment="1">
      <alignment vertical="center" wrapText="1"/>
    </xf>
    <xf numFmtId="0" fontId="9" fillId="7" borderId="0" xfId="0" applyFont="1" applyFill="1" applyAlignment="1">
      <alignment horizontal="center"/>
    </xf>
    <xf numFmtId="0" fontId="16" fillId="11" borderId="0" xfId="0" applyFont="1" applyFill="1"/>
    <xf numFmtId="0" fontId="18" fillId="0" borderId="0" xfId="0" applyFont="1" applyAlignment="1">
      <alignment vertical="center" wrapText="1"/>
    </xf>
    <xf numFmtId="0" fontId="15" fillId="12" borderId="0" xfId="0" applyFont="1" applyFill="1" applyAlignment="1">
      <alignment horizontal="center"/>
    </xf>
    <xf numFmtId="0" fontId="23" fillId="3" borderId="0" xfId="0" applyFont="1" applyFill="1"/>
    <xf numFmtId="0" fontId="25" fillId="0" borderId="0" xfId="0" applyFont="1" applyAlignment="1">
      <alignment vertical="center" wrapText="1"/>
    </xf>
    <xf numFmtId="0" fontId="22" fillId="16" borderId="0" xfId="0" applyFont="1" applyFill="1" applyAlignment="1">
      <alignment horizontal="center"/>
    </xf>
    <xf numFmtId="0" fontId="19" fillId="14" borderId="0" xfId="0" applyFont="1" applyFill="1"/>
    <xf numFmtId="0" fontId="30" fillId="20" borderId="0" xfId="0" applyFont="1" applyFill="1"/>
    <xf numFmtId="0" fontId="32" fillId="0" borderId="0" xfId="0" applyFont="1" applyAlignment="1">
      <alignment vertical="center" wrapText="1"/>
    </xf>
    <xf numFmtId="0" fontId="29" fillId="21" borderId="0" xfId="0" applyFont="1" applyFill="1" applyAlignment="1">
      <alignment horizontal="center"/>
    </xf>
    <xf numFmtId="0" fontId="33" fillId="23" borderId="0" xfId="0" applyFont="1" applyFill="1"/>
    <xf numFmtId="0" fontId="26" fillId="18" borderId="0" xfId="0" applyFont="1" applyFill="1"/>
    <xf numFmtId="0" fontId="63" fillId="19" borderId="0" xfId="0" applyFont="1" applyFill="1" applyAlignment="1">
      <alignment horizontal="center"/>
    </xf>
    <xf numFmtId="0" fontId="32" fillId="23" borderId="0" xfId="0" applyFont="1" applyFill="1" applyAlignment="1">
      <alignment wrapText="1"/>
    </xf>
    <xf numFmtId="0" fontId="0" fillId="19" borderId="0" xfId="0" applyFill="1"/>
    <xf numFmtId="0" fontId="59" fillId="19" borderId="0" xfId="0" applyFont="1" applyFill="1" applyAlignment="1">
      <alignment vertical="top" wrapText="1"/>
    </xf>
    <xf numFmtId="0" fontId="65" fillId="19" borderId="0" xfId="0" applyFont="1" applyFill="1" applyAlignment="1">
      <alignment horizontal="center" vertical="top" wrapText="1"/>
    </xf>
    <xf numFmtId="0" fontId="66" fillId="23" borderId="0" xfId="0" applyFont="1" applyFill="1" applyAlignment="1">
      <alignment vertical="top" wrapText="1"/>
    </xf>
    <xf numFmtId="0" fontId="59" fillId="24" borderId="0" xfId="0" applyFont="1" applyFill="1" applyAlignment="1">
      <alignment vertical="top" wrapText="1"/>
    </xf>
    <xf numFmtId="0" fontId="62" fillId="21" borderId="0" xfId="0" applyFont="1" applyFill="1" applyAlignment="1">
      <alignment vertical="top" wrapText="1"/>
    </xf>
    <xf numFmtId="0" fontId="64" fillId="24" borderId="0" xfId="0" applyFont="1" applyFill="1" applyAlignment="1">
      <alignment horizontal="center" vertical="center" wrapText="1"/>
    </xf>
    <xf numFmtId="0" fontId="69" fillId="19" borderId="0" xfId="0" applyFont="1" applyFill="1" applyAlignment="1">
      <alignment vertical="center" wrapText="1"/>
    </xf>
    <xf numFmtId="0" fontId="59" fillId="22" borderId="0" xfId="0" applyFont="1" applyFill="1" applyAlignment="1">
      <alignment vertical="center" wrapText="1"/>
    </xf>
    <xf numFmtId="0" fontId="62" fillId="22" borderId="0" xfId="0" applyFont="1" applyFill="1" applyAlignment="1">
      <alignment horizontal="center" vertical="center" wrapText="1"/>
    </xf>
    <xf numFmtId="0" fontId="59" fillId="22" borderId="0" xfId="0" applyFont="1" applyFill="1" applyBorder="1" applyAlignment="1">
      <alignment vertical="center" wrapText="1"/>
    </xf>
    <xf numFmtId="0" fontId="62" fillId="22" borderId="0" xfId="0" applyFont="1" applyFill="1" applyBorder="1" applyAlignment="1">
      <alignment vertical="center" wrapText="1"/>
    </xf>
    <xf numFmtId="0" fontId="62" fillId="22" borderId="0" xfId="0" applyFont="1" applyFill="1" applyBorder="1" applyAlignment="1">
      <alignment horizontal="center" vertical="center" wrapText="1"/>
    </xf>
    <xf numFmtId="0" fontId="69" fillId="24" borderId="0" xfId="0" applyFont="1" applyFill="1" applyAlignment="1">
      <alignment horizontal="center" vertical="center" wrapText="1"/>
    </xf>
    <xf numFmtId="0" fontId="59" fillId="24" borderId="0" xfId="0" applyFont="1" applyFill="1" applyBorder="1" applyAlignment="1">
      <alignment vertical="center" wrapText="1"/>
    </xf>
    <xf numFmtId="0" fontId="69" fillId="24" borderId="0" xfId="0" applyFont="1" applyFill="1" applyBorder="1" applyAlignment="1">
      <alignment horizontal="center" vertical="center" wrapText="1"/>
    </xf>
    <xf numFmtId="0" fontId="59" fillId="20" borderId="0" xfId="0" applyFont="1" applyFill="1" applyAlignment="1">
      <alignment vertical="center" wrapText="1"/>
    </xf>
    <xf numFmtId="0" fontId="88" fillId="23" borderId="0" xfId="0" applyFont="1" applyFill="1" applyAlignment="1">
      <alignment vertical="center" wrapText="1"/>
    </xf>
    <xf numFmtId="0" fontId="62" fillId="21" borderId="0" xfId="0" applyFont="1" applyFill="1" applyAlignment="1">
      <alignment horizontal="center" vertical="center" wrapText="1"/>
    </xf>
    <xf numFmtId="0" fontId="59" fillId="23" borderId="0" xfId="0" applyFont="1" applyFill="1" applyBorder="1" applyAlignment="1">
      <alignment vertical="center" wrapText="1"/>
    </xf>
    <xf numFmtId="0" fontId="59" fillId="23" borderId="13" xfId="0" applyFont="1" applyFill="1" applyBorder="1" applyAlignment="1">
      <alignment vertical="center" wrapText="1"/>
    </xf>
    <xf numFmtId="0" fontId="0" fillId="20" borderId="0" xfId="0" applyFill="1"/>
    <xf numFmtId="0" fontId="29" fillId="20" borderId="0" xfId="0" applyFont="1" applyFill="1"/>
    <xf numFmtId="0" fontId="68" fillId="24" borderId="0" xfId="0" applyFont="1" applyFill="1" applyAlignment="1">
      <alignment vertical="center" wrapText="1"/>
    </xf>
    <xf numFmtId="0" fontId="60" fillId="24" borderId="0" xfId="0" applyFont="1" applyFill="1" applyAlignment="1">
      <alignment vertical="center" wrapText="1"/>
    </xf>
    <xf numFmtId="0" fontId="67" fillId="23" borderId="0" xfId="0" applyFont="1" applyFill="1" applyAlignment="1">
      <alignment vertical="center" wrapText="1"/>
    </xf>
    <xf numFmtId="0" fontId="84" fillId="19" borderId="0" xfId="0" applyFont="1" applyFill="1" applyAlignment="1">
      <alignment vertical="center" wrapText="1"/>
    </xf>
    <xf numFmtId="0" fontId="89" fillId="19" borderId="0" xfId="0" applyFont="1" applyFill="1" applyBorder="1" applyAlignment="1">
      <alignment vertical="top" wrapText="1"/>
    </xf>
    <xf numFmtId="0" fontId="90" fillId="19" borderId="0" xfId="0" applyFont="1" applyFill="1" applyAlignment="1">
      <alignment wrapText="1"/>
    </xf>
    <xf numFmtId="0" fontId="65" fillId="19" borderId="0" xfId="0" applyFont="1" applyFill="1" applyBorder="1" applyAlignment="1">
      <alignment horizontal="center" vertical="top" wrapText="1"/>
    </xf>
    <xf numFmtId="0" fontId="81" fillId="23" borderId="0" xfId="0" applyFont="1" applyFill="1" applyAlignment="1">
      <alignment vertical="top" wrapText="1"/>
    </xf>
    <xf numFmtId="0" fontId="91" fillId="23" borderId="0" xfId="0" applyFont="1" applyFill="1" applyAlignment="1">
      <alignment vertical="top" wrapText="1"/>
    </xf>
    <xf numFmtId="0" fontId="84" fillId="19" borderId="0" xfId="0" applyFont="1" applyFill="1" applyAlignment="1">
      <alignment wrapText="1"/>
    </xf>
    <xf numFmtId="0" fontId="59" fillId="24" borderId="0" xfId="0" applyFont="1" applyFill="1" applyAlignment="1">
      <alignment wrapText="1"/>
    </xf>
    <xf numFmtId="0" fontId="69" fillId="24" borderId="14" xfId="0" applyFont="1" applyFill="1" applyBorder="1" applyAlignment="1">
      <alignment wrapText="1"/>
    </xf>
    <xf numFmtId="0" fontId="92" fillId="22" borderId="0" xfId="0" applyFont="1" applyFill="1" applyAlignment="1">
      <alignment vertical="top" wrapText="1"/>
    </xf>
    <xf numFmtId="0" fontId="69" fillId="24" borderId="0" xfId="0" applyFont="1" applyFill="1" applyAlignment="1">
      <alignment wrapText="1"/>
    </xf>
    <xf numFmtId="0" fontId="59" fillId="22" borderId="0" xfId="0" applyFont="1" applyFill="1" applyAlignment="1">
      <alignment wrapText="1"/>
    </xf>
    <xf numFmtId="0" fontId="62" fillId="22" borderId="0" xfId="0" applyFont="1" applyFill="1" applyAlignment="1">
      <alignment wrapText="1"/>
    </xf>
    <xf numFmtId="0" fontId="59" fillId="23" borderId="0" xfId="0" applyFont="1" applyFill="1" applyAlignment="1">
      <alignment wrapText="1"/>
    </xf>
    <xf numFmtId="0" fontId="68" fillId="23" borderId="0" xfId="0" applyFont="1" applyFill="1" applyAlignment="1">
      <alignment wrapText="1"/>
    </xf>
    <xf numFmtId="0" fontId="62" fillId="21" borderId="7" xfId="0" applyFont="1" applyFill="1" applyBorder="1" applyAlignment="1">
      <alignment horizontal="center" vertical="center" wrapText="1"/>
    </xf>
    <xf numFmtId="0" fontId="62" fillId="21" borderId="6" xfId="0" applyFont="1" applyFill="1" applyBorder="1" applyAlignment="1">
      <alignment horizontal="center" vertical="center" wrapText="1"/>
    </xf>
    <xf numFmtId="0" fontId="62" fillId="21" borderId="8" xfId="0" applyFont="1" applyFill="1" applyBorder="1" applyAlignment="1">
      <alignment horizontal="center" vertical="center" wrapText="1"/>
    </xf>
    <xf numFmtId="0" fontId="62" fillId="21" borderId="0" xfId="0" applyFont="1" applyFill="1" applyAlignment="1">
      <alignment horizontal="center" wrapText="1"/>
    </xf>
    <xf numFmtId="0" fontId="59" fillId="23" borderId="0" xfId="0" applyFont="1" applyFill="1" applyAlignment="1">
      <alignment wrapText="1"/>
    </xf>
    <xf numFmtId="0" fontId="32" fillId="24" borderId="0" xfId="0" applyFont="1" applyFill="1"/>
    <xf numFmtId="0" fontId="32" fillId="19" borderId="0" xfId="0" applyFont="1" applyFill="1"/>
    <xf numFmtId="0" fontId="59" fillId="19" borderId="0" xfId="0" applyFont="1" applyFill="1" applyAlignment="1">
      <alignment horizontal="center" vertical="top" wrapText="1"/>
    </xf>
    <xf numFmtId="0" fontId="36" fillId="19" borderId="0" xfId="0" applyFont="1" applyFill="1" applyAlignment="1">
      <alignment horizontal="center" vertical="top" wrapText="1"/>
    </xf>
    <xf numFmtId="0" fontId="61" fillId="19" borderId="0" xfId="0" applyFont="1" applyFill="1" applyAlignment="1">
      <alignment vertical="top" wrapText="1"/>
    </xf>
    <xf numFmtId="0" fontId="62" fillId="21" borderId="0" xfId="0" applyFont="1" applyFill="1" applyAlignment="1">
      <alignment horizontal="center" vertical="center" wrapText="1"/>
    </xf>
    <xf numFmtId="0" fontId="62" fillId="20" borderId="0" xfId="0" applyFont="1" applyFill="1" applyAlignment="1">
      <alignment horizontal="center" vertical="center" wrapText="1"/>
    </xf>
  </cellXfs>
  <cellStyles count="2">
    <cellStyle name="Lien hypertexte" xfId="1" builtinId="8"/>
    <cellStyle name="Normal" xfId="0" builtinId="0"/>
  </cellStyles>
  <dxfs count="190">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b/>
        <color rgb="FFFFF7FD"/>
        <name val="Aptos"/>
      </font>
      <fill>
        <patternFill patternType="solid">
          <fgColor indexed="64"/>
          <bgColor rgb="FF0B0612"/>
        </patternFill>
      </fill>
      <alignment vertical="top" wrapText="1"/>
    </dxf>
    <dxf>
      <font>
        <sz val="9"/>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horizontal="general" vertical="top" textRotation="0" wrapText="1" indent="0" justifyLastLine="0" shrinkToFit="0" readingOrder="0"/>
    </dxf>
    <dxf>
      <font>
        <color rgb="FFFFF7FD"/>
        <name val="Aptos"/>
      </font>
      <numFmt numFmtId="1" formatCode="0"/>
      <fill>
        <patternFill patternType="solid">
          <fgColor indexed="64"/>
          <bgColor rgb="FF0B0612"/>
        </patternFill>
      </fill>
      <alignment horizontal="center" vertical="top" wrapText="1"/>
    </dxf>
    <dxf>
      <font>
        <b/>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horizontal="general" vertical="top" textRotation="0" wrapText="1" indent="0" justifyLastLine="0" shrinkToFit="0" readingOrder="0"/>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b/>
        <color rgb="FFFFF7FD"/>
        <name val="Aptos"/>
      </font>
      <fill>
        <patternFill patternType="solid">
          <fgColor indexed="64"/>
          <bgColor rgb="FF0B0612"/>
        </patternFill>
      </fill>
      <alignment vertical="top" wrapText="1"/>
    </dxf>
    <dxf>
      <font>
        <b/>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horizontal="center" vertical="top" textRotation="0" wrapText="1" indent="0" justifyLastLine="0" shrinkToFit="0" readingOrder="0"/>
    </dxf>
    <dxf>
      <font>
        <color rgb="FFFFF7FD"/>
        <name val="Aptos"/>
      </font>
      <fill>
        <patternFill patternType="solid">
          <fgColor indexed="64"/>
          <bgColor rgb="FF0B0612"/>
        </patternFill>
      </fill>
      <alignment horizontal="general" vertical="top" textRotation="0" wrapText="1" indent="0" justifyLastLine="0" shrinkToFit="0" readingOrder="0"/>
    </dxf>
    <dxf>
      <font>
        <color rgb="FFFFF7FD"/>
        <name val="Aptos"/>
      </font>
      <fill>
        <patternFill patternType="solid">
          <fgColor indexed="64"/>
          <bgColor rgb="FF0B0612"/>
        </patternFill>
      </fill>
      <alignment horizontal="general" vertical="top" textRotation="0" wrapText="1" indent="0" justifyLastLine="0" shrinkToFit="0" readingOrder="0"/>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horizontal="general" vertical="top" textRotation="0" wrapText="1" indent="0" justifyLastLine="0" shrinkToFit="0" readingOrder="0"/>
    </dxf>
    <dxf>
      <font>
        <color rgb="FFFFF7FD"/>
        <name val="Aptos"/>
      </font>
      <fill>
        <patternFill patternType="solid">
          <fgColor indexed="64"/>
          <bgColor rgb="FF0B0612"/>
        </patternFill>
      </fill>
      <alignment horizontal="general" vertical="top" textRotation="0" wrapText="1" indent="0" justifyLastLine="0" shrinkToFit="0" readingOrder="0"/>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b/>
        <color rgb="FF0B0612"/>
        <name val="Aptos"/>
      </font>
      <fill>
        <patternFill patternType="solid">
          <fgColor indexed="64"/>
          <bgColor rgb="FF58FCEC"/>
        </patternFill>
      </fill>
      <alignment vertical="top" wrapText="1"/>
    </dxf>
    <dxf>
      <font>
        <b/>
        <color rgb="FF0B0612"/>
        <name val="Aptos"/>
      </font>
      <fill>
        <patternFill patternType="solid">
          <fgColor indexed="64"/>
          <bgColor rgb="FFB77CFF"/>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horizontal="center"/>
    </dxf>
    <dxf>
      <alignment wrapText="1"/>
    </dxf>
    <dxf>
      <alignment horizontal="center"/>
    </dxf>
    <dxf>
      <alignment horizontal="center"/>
    </dxf>
    <dxf>
      <alignment horizontal="center"/>
    </dxf>
    <dxf>
      <alignment wrapText="1"/>
    </dxf>
    <dxf>
      <alignment horizontal="center"/>
    </dxf>
    <dxf>
      <alignment wrapText="1"/>
    </dxf>
    <dxf>
      <alignment wrapText="1"/>
    </dxf>
    <dxf>
      <alignment horizontal="center"/>
    </dxf>
    <dxf>
      <font>
        <b/>
        <color rgb="FF0B0612"/>
      </font>
      <fill>
        <patternFill patternType="solid">
          <fgColor indexed="64"/>
          <bgColor rgb="FFB77CFF"/>
        </patternFill>
      </fill>
      <alignment horizontal="center" wrapText="1"/>
    </dxf>
    <dxf>
      <font>
        <color rgb="FFFFF7FD"/>
        <name val="Aptos"/>
      </font>
      <fill>
        <patternFill patternType="solid">
          <fgColor indexed="64"/>
          <bgColor rgb="FF0B0612"/>
        </patternFill>
      </fill>
      <alignment wrapText="1"/>
    </dxf>
    <dxf>
      <font>
        <color rgb="FFFFD166"/>
        <name val="Aptos"/>
      </font>
      <fill>
        <patternFill patternType="solid">
          <fgColor indexed="64"/>
          <bgColor rgb="FF0B0612"/>
        </patternFill>
      </fill>
      <alignment wrapText="1"/>
    </dxf>
    <dxf>
      <font>
        <color rgb="FF58FCEC"/>
        <name val="Aptos"/>
      </font>
      <numFmt numFmtId="164" formatCode="0.0"/>
      <fill>
        <patternFill patternType="solid">
          <fgColor indexed="64"/>
          <bgColor rgb="FF0B0612"/>
        </patternFill>
      </fill>
      <alignment wrapText="1"/>
    </dxf>
    <dxf>
      <font>
        <color rgb="FFFFF7FD"/>
        <name val="Aptos"/>
      </font>
      <fill>
        <patternFill patternType="solid">
          <fgColor indexed="64"/>
          <bgColor rgb="FF241331"/>
        </patternFill>
      </fill>
      <alignment wrapText="1"/>
    </dxf>
    <dxf>
      <font>
        <color rgb="FFFFF7FD"/>
        <name val="Aptos"/>
      </font>
      <fill>
        <patternFill patternType="solid">
          <fgColor indexed="64"/>
          <bgColor rgb="FF241331"/>
        </patternFill>
      </fill>
      <alignment wrapText="1"/>
    </dxf>
    <dxf>
      <font>
        <color rgb="FFFFF7FD"/>
        <name val="Aptos"/>
      </font>
      <fill>
        <patternFill patternType="solid">
          <fgColor indexed="64"/>
          <bgColor rgb="FF241331"/>
        </patternFill>
      </fill>
      <alignment wrapText="1"/>
    </dxf>
    <dxf>
      <font>
        <color rgb="FFFFF7FD"/>
        <name val="Aptos"/>
      </font>
      <fill>
        <patternFill patternType="solid">
          <fgColor indexed="64"/>
          <bgColor rgb="FF241331"/>
        </patternFill>
      </fill>
      <alignment wrapText="1"/>
    </dxf>
    <dxf>
      <font>
        <color rgb="FFFFF7FD"/>
        <name val="Aptos"/>
      </font>
      <fill>
        <patternFill patternType="solid">
          <fgColor indexed="64"/>
          <bgColor rgb="FF241331"/>
        </patternFill>
      </fill>
      <alignment wrapText="1"/>
    </dxf>
    <dxf>
      <font>
        <color rgb="FFFFF7FD"/>
        <name val="Aptos"/>
      </font>
      <fill>
        <patternFill patternType="solid">
          <fgColor indexed="64"/>
          <bgColor rgb="FF241331"/>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B77CFF"/>
        <name val="Aptos"/>
      </font>
      <fill>
        <patternFill patternType="solid">
          <fgColor indexed="64"/>
          <bgColor rgb="FF0B0612"/>
        </patternFill>
      </fill>
      <alignment wrapText="1"/>
    </dxf>
    <dxf>
      <font>
        <color rgb="FF58FCEC"/>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b/>
        <color rgb="FF0B0612"/>
        <name val="Aptos"/>
      </font>
      <fill>
        <patternFill patternType="solid">
          <fgColor indexed="64"/>
          <bgColor rgb="FFB77CFF"/>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7DFFC2"/>
        <name val="Aptos"/>
      </font>
      <fill>
        <patternFill patternType="solid">
          <fgColor indexed="64"/>
          <bgColor rgb="FF0B0612"/>
        </patternFill>
      </fill>
      <alignment wrapText="1"/>
    </dxf>
    <dxf>
      <font>
        <color rgb="FFFF4FB8"/>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B77CFF"/>
        <name val="Aptos"/>
      </font>
      <fill>
        <patternFill patternType="solid">
          <fgColor indexed="64"/>
          <bgColor rgb="FF0B0612"/>
        </patternFill>
      </fill>
      <alignment wrapText="1"/>
    </dxf>
    <dxf>
      <font>
        <color rgb="FF58FCEC"/>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b/>
        <color rgb="FF0B0612"/>
        <name val="Aptos"/>
      </font>
      <fill>
        <patternFill patternType="solid">
          <fgColor indexed="64"/>
          <bgColor rgb="FFB77CFF"/>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D166"/>
        <name val="Aptos"/>
      </font>
      <fill>
        <patternFill patternType="solid">
          <fgColor indexed="64"/>
          <bgColor rgb="FF0B0612"/>
        </patternFill>
      </fill>
      <alignment wrapText="1"/>
    </dxf>
    <dxf>
      <font>
        <color rgb="FFFFF7FD"/>
        <name val="Aptos"/>
      </font>
      <numFmt numFmtId="19" formatCode="dd/mm/yyyy"/>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241331"/>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color rgb="FFB77CFF"/>
        <name val="Aptos"/>
      </font>
      <fill>
        <patternFill patternType="solid">
          <fgColor indexed="64"/>
          <bgColor rgb="FF0B0612"/>
        </patternFill>
      </fill>
      <alignment wrapText="1"/>
    </dxf>
    <dxf>
      <font>
        <color rgb="FF58FCEC"/>
        <name val="Aptos"/>
      </font>
      <fill>
        <patternFill patternType="solid">
          <fgColor indexed="64"/>
          <bgColor rgb="FF0B0612"/>
        </patternFill>
      </fill>
      <alignment wrapText="1"/>
    </dxf>
    <dxf>
      <font>
        <color rgb="FFFFF7FD"/>
        <name val="Aptos"/>
      </font>
      <fill>
        <patternFill patternType="solid">
          <fgColor indexed="64"/>
          <bgColor rgb="FF0B0612"/>
        </patternFill>
      </fill>
      <alignment wrapText="1"/>
    </dxf>
    <dxf>
      <font>
        <b/>
        <color rgb="FF0B0612"/>
        <name val="Aptos"/>
      </font>
      <fill>
        <patternFill patternType="solid">
          <fgColor indexed="64"/>
          <bgColor rgb="FFB77CFF"/>
        </patternFill>
      </fill>
      <alignment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color rgb="FFFFF7FD"/>
        <name val="Aptos"/>
      </font>
      <fill>
        <patternFill patternType="solid">
          <fgColor indexed="64"/>
          <bgColor rgb="FF0B0612"/>
        </patternFill>
      </fill>
      <alignment vertical="top" wrapText="1"/>
    </dxf>
    <dxf>
      <font>
        <i/>
        <color rgb="FF58FCEC"/>
        <name val="Aptos"/>
      </font>
      <fill>
        <patternFill patternType="solid">
          <fgColor indexed="64"/>
          <bgColor rgb="FF1A0F24"/>
        </patternFill>
      </fill>
      <alignment vertical="top" wrapText="1"/>
    </dxf>
    <dxf>
      <font>
        <b/>
        <color rgb="FFFF4FB8"/>
        <name val="Aptos"/>
      </font>
      <fill>
        <patternFill patternType="solid">
          <fgColor indexed="64"/>
          <bgColor rgb="FF241331"/>
        </patternFill>
      </fill>
      <alignment vertical="top" wrapText="1"/>
    </dxf>
    <dxf>
      <font>
        <color rgb="FFFFF7FD"/>
        <name val="Aptos"/>
      </font>
      <fill>
        <patternFill patternType="solid">
          <fgColor indexed="64"/>
          <bgColor rgb="FF0B0612"/>
        </patternFill>
      </fill>
      <alignment vertical="top" wrapText="1"/>
    </dxf>
    <dxf>
      <font>
        <b/>
        <i val="0"/>
        <strike val="0"/>
        <condense val="0"/>
        <extend val="0"/>
        <outline val="0"/>
        <shadow val="0"/>
        <u val="none"/>
        <vertAlign val="baseline"/>
        <sz val="11"/>
        <color rgb="FF0B0612"/>
        <name val="Aptos"/>
        <scheme val="minor"/>
      </font>
      <fill>
        <patternFill patternType="solid">
          <fgColor indexed="64"/>
          <bgColor rgb="FFB77CFF"/>
        </patternFill>
      </fill>
      <alignment horizontal="center" vertical="top"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675F539-DE25-4925-B6C7-40FC54A40625}" name="TableauConsolide" displayName="TableauConsolide" ref="A5:V22" totalsRowShown="0" headerRowDxfId="189" dataDxfId="188">
  <autoFilter ref="A5:V22" xr:uid="{9675F539-DE25-4925-B6C7-40FC54A40625}"/>
  <tableColumns count="22">
    <tableColumn id="1" xr3:uid="{26096A9F-090B-4462-A11F-FF5695A5A87D}" name="1️⃣ 🧭 Catégorie générique / repère" dataDxfId="187"/>
    <tableColumn id="2" xr3:uid="{31AB6292-E168-4D7E-9353-B8B2F0FE70EA}" name="2️⃣ 🎯 Besoin / intention du lecteur" dataDxfId="186"/>
    <tableColumn id="3" xr3:uid="{8AB366EE-1200-43E4-8AEB-5AA34E3B6094}" name="3️⃣ 🏷️ Microsoft" dataDxfId="185"/>
    <tableColumn id="4" xr3:uid="{1AAE1813-5818-4C4B-BAF5-FC0AE5BA5DF6}" name="3️⃣ 🏷️ Anthropic" dataDxfId="184"/>
    <tableColumn id="5" xr3:uid="{A317F7B5-6BB9-48F4-9502-2967DF8FF5F5}" name="3️⃣ 🏷️ OpenAI" dataDxfId="183"/>
    <tableColumn id="6" xr3:uid="{5FA7940D-DE75-4AA8-A215-C7C0A8512A63}" name="3️⃣ 🏷️ Google" dataDxfId="182"/>
    <tableColumn id="7" xr3:uid="{10950D0E-02D8-4F8F-8EA9-3871D9AA7F60}" name="3️⃣ 🏷️ Perplexity" dataDxfId="181"/>
    <tableColumn id="8" xr3:uid="{C9A420A3-EF97-42C8-B14C-59862764B684}" name="3️⃣ 🏷️ Salesforce" dataDxfId="180"/>
    <tableColumn id="9" xr3:uid="{74FB21AB-6285-4F52-B943-C6372FD7B93E}" name="3️⃣ 🏷️ ServiceNow" dataDxfId="179"/>
    <tableColumn id="10" xr3:uid="{011C63F1-5AB4-42F2-BF2A-F2E775841EF5}" name="3️⃣ 🏷️ SAP" dataDxfId="178"/>
    <tableColumn id="11" xr3:uid="{CBBA0A27-F029-4AD7-A618-A2B9D2341A8F}" name="3️⃣ 🏷️ Oracle" dataDxfId="177"/>
    <tableColumn id="12" xr3:uid="{63F34C1C-AC62-4FC3-A9A9-22C63C12BA52}" name="3️⃣ 🏷️ Atlassian" dataDxfId="176"/>
    <tableColumn id="13" xr3:uid="{7B7D332E-1E93-404B-AF1C-1B8CB78B5952}" name="3️⃣ 🏷️ Amazon" dataDxfId="175"/>
    <tableColumn id="14" xr3:uid="{580466D5-BA05-4A63-B707-415A7BEF61C2}" name="3️⃣ 🏷️ IBM" dataDxfId="174"/>
    <tableColumn id="15" xr3:uid="{88DF00A4-2660-47EE-9BC0-1D429335EDB0}" name="3️⃣ 🏷️ Meta" dataDxfId="173"/>
    <tableColumn id="16" xr3:uid="{27261DA4-FB0B-46B2-9AFA-DC5F44BB5BC1}" name="3️⃣ 🏷️ Mistral AI" dataDxfId="172"/>
    <tableColumn id="17" xr3:uid="{4C7AA2E4-EDAB-4C7A-B71C-8891070C417D}" name="3️⃣ 🏷️ Cohere" dataDxfId="171"/>
    <tableColumn id="18" xr3:uid="{6C934164-909C-48D2-B375-BA3D5C990858}" name="3️⃣ 🏷️ Hugging Face" dataDxfId="170"/>
    <tableColumn id="19" xr3:uid="{D229C10B-5FD8-4448-8DBD-70C7A7F1B2F7}" name="3️⃣ 🏷️ N8N" dataDxfId="169"/>
    <tableColumn id="20" xr3:uid="{B820B4EF-E3AB-4214-9307-8C233036B027}" name="3️⃣ 🏷️ Make" dataDxfId="168"/>
    <tableColumn id="21" xr3:uid="{FD82EFDC-B79A-49BC-8CAC-80EB51A84556}" name="3️⃣ 🏷️ Zapier" dataDxfId="167"/>
    <tableColumn id="22" xr3:uid="{F960955D-65D6-4DCC-9303-634A23D90DC1}" name="Index recherche — solutions" dataDxfId="166">
      <calculatedColumnFormula array="1">_xlfn.TEXTJOIN(" • ",TRUE,IF((C6:U6&lt;&gt;"—")*(C6:U6&lt;&gt;""),C6:U6,""))</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B5C39-1DF7-41B0-8F69-153B76B86DE8}" name="BibliothequePrompts" displayName="BibliothequePrompts" ref="A4:AD44" totalsRowShown="0" headerRowDxfId="165" dataDxfId="164">
  <autoFilter ref="A4:AD44" xr:uid="{49FB5C39-1DF7-41B0-8F69-153B76B86DE8}"/>
  <tableColumns count="30">
    <tableColumn id="1" xr3:uid="{2D47303B-1FA8-4340-B41D-A6EA5183B42F}" name="ID" dataDxfId="163"/>
    <tableColumn id="2" xr3:uid="{20D7D700-1729-409B-82A9-A585117CA0DD}" name="Titre" dataDxfId="162"/>
    <tableColumn id="3" xr3:uid="{4E80F312-E703-445D-945C-7344CCAAC273}" name="Besoin / intention" dataDxfId="161"/>
    <tableColumn id="4" xr3:uid="{EF5B712A-D7D5-4EE4-AC85-2BF96723279F}" name="Catégorie" dataDxfId="160"/>
    <tableColumn id="5" xr3:uid="{2A3333EB-1B60-47EE-8C48-FF8F74D3450F}" name="Métier" dataDxfId="159"/>
    <tableColumn id="6" xr3:uid="{C8D24047-D908-4BF8-BCAD-A05FF4CB2E84}" name="Outil" dataDxfId="158"/>
    <tableColumn id="7" xr3:uid="{815EE044-C0B3-4571-AF59-9C4426323B89}" name="Application" dataDxfId="157"/>
    <tableColumn id="8" xr3:uid="{CB844557-BB7E-4F86-B2FE-195E21979F14}" name="Tâche" dataDxfId="156"/>
    <tableColumn id="9" xr3:uid="{12B5342B-9FFC-4113-9F63-E44F28DE33AB}" name="Prompt" dataDxfId="155"/>
    <tableColumn id="10" xr3:uid="{9699A6EA-3F79-4629-AAF3-2B9F4E2DAE7C}" name="Variables" dataDxfId="154"/>
    <tableColumn id="11" xr3:uid="{5230F7D9-CA10-485F-A0C6-B574C2CB4347}" name="Prérequis" dataDxfId="153"/>
    <tableColumn id="12" xr3:uid="{C48BE85C-77F7-44BB-82F9-340613E3CD06}" name="Résultat attendu" dataDxfId="152"/>
    <tableColumn id="13" xr3:uid="{6F350B2C-4F0C-4A59-A6D8-45543A1181F5}" name="Signal de maturité" dataDxfId="151"/>
    <tableColumn id="14" xr3:uid="{829B5C36-75F6-4921-9984-C810F289B192}" name="Technique" dataDxfId="150"/>
    <tableColumn id="15" xr3:uid="{EB3255C1-C718-461A-BF4A-C4B33F4E7505}" name="Source" dataDxfId="149"/>
    <tableColumn id="16" xr3:uid="{9DA43963-2D34-4E47-8104-336E4BCF3869}" name="URL source" dataDxfId="148"/>
    <tableColumn id="17" xr3:uid="{85BA132B-7066-4E35-8BD4-EA7239BF4D6F}" name="Auteur" dataDxfId="147"/>
    <tableColumn id="18" xr3:uid="{9B841F2B-3908-425E-8B37-2525A1FD4F9E}" name="Licence" dataDxfId="146"/>
    <tableColumn id="19" xr3:uid="{630BAB90-6418-447B-B1B9-2D38496575B9}" name="Date collecte" dataDxfId="145"/>
    <tableColumn id="20" xr3:uid="{70119B6A-DA63-4401-B16A-3E0E39A8214E}" name="Statut" dataDxfId="144"/>
    <tableColumn id="21" xr3:uid="{E3B34E8A-B994-4BA1-A22D-FB41D69E2FDD}" name="Nature source" dataDxfId="143"/>
    <tableColumn id="22" xr3:uid="{70A9A9F2-8876-4520-BAE8-5E0BC5751392}" name="Outil compatible" dataDxfId="142"/>
    <tableColumn id="23" xr3:uid="{104DC6C8-F712-415E-9359-AB70E0D88C5A}" name="Compatibilité" dataDxfId="141"/>
    <tableColumn id="24" xr3:uid="{ECCC03AE-4330-492D-BC3F-9B9D1F5832FD}" name="Offre / abonnement requis" dataDxfId="140"/>
    <tableColumn id="25" xr3:uid="{B419F051-E3CE-40CC-8080-597E2A853B70}" name="Capacité principale" dataDxfId="139"/>
    <tableColumn id="26" xr3:uid="{8F12B654-8C72-4FA0-A22D-6EB7FC7F3A5F}" name="Niveau requis" dataDxfId="138"/>
    <tableColumn id="27" xr3:uid="{5C737331-0C49-4F01-B932-DF00136E3F50}" name="Statut d’exécution" dataDxfId="137"/>
    <tableColumn id="28" xr3:uid="{4B8E9051-4E66-42AB-A72B-33ED9134F2AF}" name="Date de vérification" dataDxfId="136"/>
    <tableColumn id="29" xr3:uid="{E7E0C06C-3506-4325-A5BE-E5F1C0204C82}" name="ID Outil" dataDxfId="135"/>
    <tableColumn id="30" xr3:uid="{BA561482-B33F-4398-A5D1-9556C4DCEB7F}" name="Environnement / écosystème" dataDxfId="134"/>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9DDDE89-A5CD-48BF-8A38-7DC6ADB5B144}" name="SourcesPrompts" displayName="SourcesPrompts" ref="A4:G11" totalsRowShown="0" headerRowDxfId="133" dataDxfId="132">
  <autoFilter ref="A4:G11" xr:uid="{39DDDE89-A5CD-48BF-8A38-7DC6ADB5B144}"/>
  <tableColumns count="7">
    <tableColumn id="1" xr3:uid="{69E4C6F2-1FDA-4EEA-8B2E-B1AA0B88DE11}" name="📚 Source" dataDxfId="131"/>
    <tableColumn id="2" xr3:uid="{1AD598C4-311B-4F21-8F69-33453FF92E98}" name="Type" dataDxfId="130"/>
    <tableColumn id="3" xr3:uid="{1ADC7644-7C3B-4D50-B674-D2DEA9B8F089}" name="URL" dataDxfId="129"/>
    <tableColumn id="4" xr3:uid="{54E77C50-128F-4382-9115-75C9C87D2D1D}" name="Priorité" dataDxfId="128"/>
    <tableColumn id="5" xr3:uid="{705A21F7-D237-471B-BB31-1D088FAA7F42}" name="Fiabilité" dataDxfId="127"/>
    <tableColumn id="6" xr3:uid="{C9E4FA7D-B7F9-486E-80B1-8C7AAAEA3CDE}" name="Licence / réutilisation" dataDxfId="126"/>
    <tableColumn id="7" xr3:uid="{0CD6AA52-5489-432D-BF5B-4A6008CECDE7}" name="Règle de collecte" dataDxfId="125"/>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C19A686-8FD1-4304-8991-22CEBB9E9E70}" name="EvaluationsPrompts" displayName="EvaluationsPrompts" ref="A4:M44" totalsRowShown="0" headerRowDxfId="124" dataDxfId="123">
  <autoFilter ref="A4:M44" xr:uid="{DC19A686-8FD1-4304-8991-22CEBB9E9E70}"/>
  <tableColumns count="13">
    <tableColumn id="1" xr3:uid="{2A7E3A0A-2DA8-4439-AA80-EB289D67FE9C}" name="Prompt ID" dataDxfId="122"/>
    <tableColumn id="2" xr3:uid="{CA9E4827-E682-4ED6-879A-9AF3737A3347}" name="Titre" dataDxfId="121"/>
    <tableColumn id="3" xr3:uid="{B0C0A7F2-6968-4334-903B-9B3E2A526A7B}" name="Modèle testé" dataDxfId="120"/>
    <tableColumn id="4" xr3:uid="{181E3C25-250D-4894-9CC2-6FDFC405486F}" name="Date test" dataDxfId="119"/>
    <tableColumn id="5" xr3:uid="{69A6A0DD-CA47-42DF-AEAE-07739BE7D82C}" name="Clarté" dataDxfId="118"/>
    <tableColumn id="6" xr3:uid="{A18889A9-A25B-485D-97E3-7C28F805673A}" name="Respect consignes" dataDxfId="117"/>
    <tableColumn id="7" xr3:uid="{92F86674-730F-435A-8A52-7667638D8B3D}" name="Exactitude" dataDxfId="116"/>
    <tableColumn id="8" xr3:uid="{929282EE-E791-4E23-A0EA-65C3BCF9C848}" name="Réutilisabilité" dataDxfId="115"/>
    <tableColumn id="9" xr3:uid="{E4DC8E2F-AA9B-4467-8C52-796ABC3C6E0C}" name="Sécurité" dataDxfId="114"/>
    <tableColumn id="10" xr3:uid="{7CB83F78-8715-4382-99BA-B566D82B93FD}" name="Qualité format" dataDxfId="113"/>
    <tableColumn id="11" xr3:uid="{8AF83944-C8BB-424A-9942-58EF47A3F237}" name="Score moyen" dataDxfId="112">
      <calculatedColumnFormula>IF(COUNTA(E5:J5)=0,"",AVERAGE(E5:J5))</calculatedColumnFormula>
    </tableColumn>
    <tableColumn id="12" xr3:uid="{7B055EF1-F3AD-42A8-AD5C-0E571ABE3028}" name="✅ Décision" dataDxfId="111"/>
    <tableColumn id="13" xr3:uid="{0CF6BD83-A8E0-4FB3-9827-ACDAFEFC2C1B}" name="Notes de test" dataDxfId="110"/>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58FF703-91D1-4912-8EE1-72CF3E8E75D8}" name="TableauOutils" displayName="TableauOutils" ref="A4:L142" totalsRowShown="0" headerRowDxfId="109">
  <autoFilter ref="A4:L142" xr:uid="{E58FF703-91D1-4912-8EE1-72CF3E8E75D8}"/>
  <tableColumns count="12">
    <tableColumn id="1" xr3:uid="{99B982B7-440D-451B-A28B-DB436B68E2FC}" name="ID Outil" dataDxfId="108"/>
    <tableColumn id="2" xr3:uid="{45397F11-3CF9-41B3-B446-36F82A1D95FC}" name="Nom de l’outil"/>
    <tableColumn id="3" xr3:uid="{D80625E2-C60D-4B3C-A667-A491F3DB6B08}" name="Éditeur"/>
    <tableColumn id="4" xr3:uid="{BDA472C4-3DD5-4093-BF38-8789ADBAAF47}" name="Type d’outil" dataDxfId="107"/>
    <tableColumn id="5" xr3:uid="{7E9CBED7-6899-4C69-B0CE-7231F9B4B5C7}" name="Capacités principales" dataDxfId="106"/>
    <tableColumn id="6" xr3:uid="{DFB36899-5FA0-431C-AD97-BE2975C53B91}" name="Coût" dataDxfId="105"/>
    <tableColumn id="7" xr3:uid="{CBB43B87-5895-4A2F-8EF3-69C2498898AF}" name="Offre / abonnement requis" dataDxfId="104"/>
    <tableColumn id="8" xr3:uid="{665C608A-DF0D-4384-A9D0-35E7AFA54D83}" name="Niveau requis" dataDxfId="103"/>
    <tableColumn id="9" xr3:uid="{BDB809EB-FD2D-40AB-8BA8-D986DFA95F40}" name="Disponibilité" dataDxfId="102"/>
    <tableColumn id="10" xr3:uid="{68BB30D7-B82D-4B10-BC6B-380BED47BB47}" name="Date de vérification" dataDxfId="101"/>
    <tableColumn id="11" xr3:uid="{27F379CE-CFCC-4896-8FF6-780CFCB1F20D}" name="Source" dataDxfId="100"/>
    <tableColumn id="12" xr3:uid="{52E4AB2A-694F-49F3-AD2E-6EF6A5234874}" name="Statut" dataDxfId="99"/>
  </tableColumns>
  <tableStyleInfo name="TableStyleMedium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2117729-A25A-4C09-BB24-525534CDCB47}" name="TableauBoussoleBesoins" displayName="TableauBoussoleBesoins" ref="A1:H40" totalsRowShown="0" headerRowDxfId="98" dataDxfId="97">
  <autoFilter ref="A1:H40" xr:uid="{92117729-A25A-4C09-BB24-525534CDCB47}"/>
  <tableColumns count="8">
    <tableColumn id="1" xr3:uid="{F3D1DF6F-D8AC-41DF-B763-5071FA3EBD79}" name="Objectif" dataDxfId="96"/>
    <tableColumn id="2" xr3:uid="{8C875BF2-7472-4B69-8DF5-475B1C799562}" name="Résultat concret" dataDxfId="95"/>
    <tableColumn id="3" xr3:uid="{10078311-8D39-45AF-A58C-8655701FD621}" name="Capacité principale" dataDxfId="94"/>
    <tableColumn id="4" xr3:uid="{E7B091EF-1557-4D9D-AF9B-82993E2D4C58}" name="Capacité secondaire" dataDxfId="93"/>
    <tableColumn id="5" xr3:uid="{72823C0B-2C7E-44B3-B2CA-AF6459C7CEBA}" name="Action 1" dataDxfId="92"/>
    <tableColumn id="6" xr3:uid="{DCCC28AB-CEFE-4C57-AA80-6F08F736E740}" name="Action 2" dataDxfId="91"/>
    <tableColumn id="7" xr3:uid="{D067549C-4820-4E10-B421-531B8D3BA68B}" name="Action 3" dataDxfId="90"/>
    <tableColumn id="8" xr3:uid="{719D767A-A2FB-4D3E-BBF6-66EC59097669}" name="ID Prompt" dataDxfId="8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EDB68D1-D4F5-4D7D-B03E-8161DF33C920}" name="TableauBoussoleCapacites" displayName="TableauBoussoleCapacites" ref="J1:P16" totalsRowShown="0" headerRowDxfId="88" dataDxfId="87">
  <autoFilter ref="J1:P16" xr:uid="{CEDB68D1-D4F5-4D7D-B03E-8161DF33C920}"/>
  <tableColumns count="7">
    <tableColumn id="1" xr3:uid="{B6D05E0E-1604-48E6-86D1-DFD9187C69EE}" name="Capacité" dataDxfId="86"/>
    <tableColumn id="2" xr3:uid="{E2321FDF-1BF6-48F0-8359-439F8ACD506C}" name="Formulation utilisateur" dataDxfId="85"/>
    <tableColumn id="3" xr3:uid="{CD23F023-8FA8-4C5A-AC42-9D8B1A0BFBC7}" name="ID Agent" dataDxfId="84"/>
    <tableColumn id="4" xr3:uid="{78A90C75-462D-4BD0-B76C-4CFDF3D44EBB}" name="ID Certification" dataDxfId="83"/>
    <tableColumn id="5" xr3:uid="{22336F9F-D068-4DB2-832C-6934ED45BFD1}" name="Notion 1" dataDxfId="82"/>
    <tableColumn id="6" xr3:uid="{FE8FE594-FA7E-427C-9656-7133FBD774BD}" name="Notion 2" dataDxfId="81"/>
    <tableColumn id="7" xr3:uid="{42EDF0B5-3E1A-41AB-AEF7-5284C1A7F0DA}" name="Notion 3" dataDxfId="8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9E53299-8276-4EE1-A35A-F78123151603}" name="TableauCouchesAtlas" displayName="TableauCouchesAtlas" ref="A8:D15" totalsRowShown="0" headerRowDxfId="66" dataDxfId="60">
  <autoFilter ref="A8:D15" xr:uid="{C9E53299-8276-4EE1-A35A-F78123151603}"/>
  <tableColumns count="4">
    <tableColumn id="1" xr3:uid="{D4AD290E-2BE1-402E-9C7A-7D2866BFAA9A}" name="Couche" dataDxfId="64"/>
    <tableColumn id="2" xr3:uid="{243DCCD1-60AF-47E9-903D-BB3DFFB22806}" name="Feuilles" dataDxfId="63"/>
    <tableColumn id="3" xr3:uid="{A908861C-CC04-4612-A7B7-82A7691D7597}" name="Finalité" dataDxfId="62"/>
    <tableColumn id="4" xr3:uid="{2118F900-C967-469A-907F-A7939111B247}" name="Visibilité V1" dataDxfId="61"/>
  </tableColumns>
  <tableStyleInfo name="TableStyleMedium4"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0CBDBFE-FA23-4471-BA66-343400655A59}" name="TableauArchitectureAtlas" displayName="TableauArchitectureAtlas" ref="A17:L38" totalsRowShown="0" headerRowDxfId="65" dataDxfId="67">
  <autoFilter ref="A17:L38" xr:uid="{E0CBDBFE-FA23-4471-BA66-343400655A59}"/>
  <tableColumns count="12">
    <tableColumn id="1" xr3:uid="{E6BCB3C5-4F7C-425C-99BE-9EEAA1695791}" name="Feuille" dataDxfId="79"/>
    <tableColumn id="2" xr3:uid="{4356E4EA-A22A-4867-A17C-8A4D0472355B}" name="Type" dataDxfId="78"/>
    <tableColumn id="3" xr3:uid="{784CBD99-1CA1-459D-9595-01935BCE8588}" name="Rôle" dataDxfId="77"/>
    <tableColumn id="4" xr3:uid="{093087D8-0502-4582-B9B3-69F4511E7A99}" name="Utilisateur principal" dataDxfId="76"/>
    <tableColumn id="5" xr3:uid="{647B1986-3788-4CB8-A77A-5D2D835D20D9}" name="Contenu principal" dataDxfId="75"/>
    <tableColumn id="6" xr3:uid="{AF7F1AA1-41F1-4D63-98C5-22C782611AA8}" name="Entrées / dépendances" dataDxfId="74"/>
    <tableColumn id="7" xr3:uid="{F5B80B0D-8984-4977-823C-598ECF91D5F3}" name="Sorties / relations" dataDxfId="73"/>
    <tableColumn id="8" xr3:uid="{EE3AEE1B-EA2D-40B2-8142-3D5329247A3B}" name="Pourquoi c’est important" dataDxfId="72"/>
    <tableColumn id="9" xr3:uid="{D7841B14-C275-450B-B594-CA997816D7AA}" name="Statut V1" dataDxfId="71"/>
    <tableColumn id="10" xr3:uid="{1E1700A5-6F17-4CCE-8BEA-05B4E0D8A0C9}" name="Visibilité cible" dataDxfId="70"/>
    <tableColumn id="11" xr3:uid="{9B60F270-FC9A-4BE1-80DE-F765C2E1E0A9}" name="Évolution envisagée" dataDxfId="69"/>
    <tableColumn id="12" xr3:uid="{BBA9A169-C4C7-49CB-9658-077A8B738AA4}" name="Notes" dataDxfId="68"/>
  </tableColumns>
  <tableStyleInfo name="TableStyleMedium4"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9641E84-511E-407B-815E-2599B19C2FCA}" name="TableauComparaisonRelations" displayName="TableauComparaisonRelations" ref="A1:H311" totalsRowShown="0" headerRowDxfId="51" dataDxfId="50">
  <autoFilter ref="A1:H311" xr:uid="{49641E84-511E-407B-815E-2599B19C2FCA}"/>
  <tableColumns count="8">
    <tableColumn id="1" xr3:uid="{75EC5A66-C37F-4AEA-B37C-E2761D72BF01}" name="Besoin" dataDxfId="59"/>
    <tableColumn id="2" xr3:uid="{B8EE298C-80FF-4AAD-8C95-18A35622CAA8}" name="Capacité Atlas" dataDxfId="58"/>
    <tableColumn id="3" xr3:uid="{D9B3561E-9C19-4972-8AD4-568D3755AD65}" name="Écosystème" dataDxfId="57"/>
    <tableColumn id="4" xr3:uid="{F36CBE77-4435-4616-982E-94823143E864}" name="ID Outil" dataDxfId="56"/>
    <tableColumn id="5" xr3:uid="{062B42E8-853A-41B5-9C0A-E9C202428AEA}" name="Solution représentative" dataDxfId="55"/>
    <tableColumn id="6" xr3:uid="{0907E3DA-BB2E-4291-989A-FF466AA67125}" name="Type de relation" dataDxfId="54"/>
    <tableColumn id="7" xr3:uid="{E8AF0CEF-A8CD-441C-9BE5-368E3383324B}" name="Repère d’usage" dataDxfId="53"/>
    <tableColumn id="8" xr3:uid="{4D29D440-1428-4756-B0E8-7BE93843E465}" name="Confiance" dataDxfId="52"/>
  </tableColumns>
  <tableStyleInfo name="TableStyleMedium4"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98AD08A-7261-4AE8-8F18-4FB179455F7C}" name="TableauComparaisonSynthese" displayName="TableauComparaisonSynthese" ref="J1:O229" totalsRowShown="0" headerRowDxfId="43" dataDxfId="42">
  <autoFilter ref="J1:O229" xr:uid="{F98AD08A-7261-4AE8-8F18-4FB179455F7C}"/>
  <tableColumns count="6">
    <tableColumn id="1" xr3:uid="{8AC99701-67EC-4481-9159-FDCAC95F46C2}" name="Besoin" dataDxfId="49"/>
    <tableColumn id="2" xr3:uid="{3E770486-0CC8-4B9A-B165-7B2CA6792919}" name="Écosystème" dataDxfId="48"/>
    <tableColumn id="3" xr3:uid="{21792DE1-7BE1-44D8-8E56-2171D41C2A5B}" name="Couverture" dataDxfId="47"/>
    <tableColumn id="4" xr3:uid="{B5462F4C-A87D-436D-A953-CA1482AA8D8E}" name="Solutions représentatives" dataDxfId="46"/>
    <tableColumn id="5" xr3:uid="{44715703-AB20-4C91-A825-CE75C081C0EF}" name="Particularité / repère d’usage" dataDxfId="45"/>
    <tableColumn id="6" xr3:uid="{2936983D-A909-4DB2-AA4C-A77ABA0439F8}" name="Confiance" dataDxfId="44"/>
  </tableColumns>
  <tableStyleInfo name="TableStyleMedium4"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9A2F625-536D-4BB4-A715-44521A0BF713}" name="Tableau5" displayName="Tableau5" ref="A1:O26" totalsRowShown="0" headerRowDxfId="26" dataDxfId="25">
  <autoFilter ref="A1:O26" xr:uid="{19A2F625-536D-4BB4-A715-44521A0BF713}"/>
  <tableColumns count="15">
    <tableColumn id="6" xr3:uid="{A607A873-FAFC-4DCF-B5B1-FE3243991E45}" name="ID Agent" dataDxfId="41"/>
    <tableColumn id="1" xr3:uid="{E4DD7A07-8F59-478F-A205-1A9D73E02923}" name="Agent" dataDxfId="40"/>
    <tableColumn id="4" xr3:uid="{192DB2A5-732E-4639-AF11-42BEE1E52660}" name="Outil" dataDxfId="39"/>
    <tableColumn id="2" xr3:uid="{CC902B46-127A-47B5-97EB-2316787E39A1}" name="Description" dataDxfId="38"/>
    <tableColumn id="5" xr3:uid="{67653B42-7A91-4FAE-A366-C67349B5C19E}" name="Cas d'usage / Prompts" dataDxfId="37"/>
    <tableColumn id="3" xr3:uid="{84D4DADC-F2D1-4488-B730-C8BBD10C5C70}" name="Quand l'utiliser" dataDxfId="36"/>
    <tableColumn id="7" xr3:uid="{1AD8046B-A8FE-431B-AB88-5DBFC7F78A2F}" name="Coût" dataDxfId="35"/>
    <tableColumn id="8" xr3:uid="{62C1365B-6604-43BC-B2FA-4DED8BCCA77B}" name="Offre / abonnement requis" dataDxfId="34"/>
    <tableColumn id="9" xr3:uid="{C21BBB6F-BBF9-48C6-8692-4603961F4758}" name="Niveau requis" dataDxfId="33"/>
    <tableColumn id="10" xr3:uid="{6A7E07CD-B83A-4AB8-BC08-77EB3A09F4E5}" name="Disponibilité" dataDxfId="32"/>
    <tableColumn id="11" xr3:uid="{CA4132BE-F378-4986-9B1C-D29CB190D6A1}" name="Date de vérification" dataDxfId="31"/>
    <tableColumn id="12" xr3:uid="{46BDEE00-3A5B-493D-B595-4E1660E58941}" name="Source" dataDxfId="30"/>
    <tableColumn id="13" xr3:uid="{AA3F4D6F-6DF0-4475-BDF3-197DAF2A9066}" name="Statut" dataDxfId="29"/>
    <tableColumn id="14" xr3:uid="{8B92AB53-BBBA-470C-8678-836A408EC4CB}" name="Type d’expérience" dataDxfId="28"/>
    <tableColumn id="15" xr3:uid="{84A7F097-12A8-4EE3-89B9-A7A5F0DE8F19}" name="Niveau d’autonomie" dataDxfId="27"/>
  </tableColumns>
  <tableStyleInfo name="TableStyleMedium4"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E694E0-AB34-4AED-A4B0-70F4A6C6FD9A}" name="Tableau1" displayName="Tableau1" ref="A1:D107" totalsRowShown="0" headerRowDxfId="20" dataDxfId="19">
  <autoFilter ref="A1:D107" xr:uid="{F2E694E0-AB34-4AED-A4B0-70F4A6C6FD9A}"/>
  <sortState xmlns:xlrd2="http://schemas.microsoft.com/office/spreadsheetml/2017/richdata2" ref="B2:D107">
    <sortCondition ref="B1:B107"/>
  </sortState>
  <tableColumns count="4">
    <tableColumn id="4" xr3:uid="{995F7996-F7D8-45BD-8BAE-5CB592B18D7B}" name="ID Notion" dataDxfId="24"/>
    <tableColumn id="1" xr3:uid="{7684F4F8-1690-40E7-8A05-01AFE0046C3F}" name="Terme" dataDxfId="23"/>
    <tableColumn id="3" xr3:uid="{645CD0EB-C40A-4026-B888-B4DFF61D93B4}" name="Catégorie" dataDxfId="22"/>
    <tableColumn id="2" xr3:uid="{1E9A4EF6-F4B9-4A30-89F3-E1CBE358BC02}" name="Description" dataDxfId="21"/>
  </tableColumns>
  <tableStyleInfo name="TableStyleMedium4"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7D179A4-938A-4E6C-B202-A0D78771812B}" name="Tableau7" displayName="Tableau7" ref="A1:K9" totalsRowShown="0" headerRowDxfId="7" dataDxfId="6">
  <autoFilter ref="A1:K9" xr:uid="{47D179A4-938A-4E6C-B202-A0D78771812B}"/>
  <tableColumns count="11">
    <tableColumn id="11" xr3:uid="{FEFA2A2C-21E3-4126-B6DF-0ADE36577D6A}" name="ID Titre" dataDxfId="18"/>
    <tableColumn id="1" xr3:uid="{93188F5E-86D4-4B44-A7C0-7B7BF2457299}" name="Certification" dataDxfId="17"/>
    <tableColumn id="2" xr3:uid="{203B31F0-7487-4CE7-95B9-9E2264A809D7}" name="Niveau" dataDxfId="16"/>
    <tableColumn id="3" xr3:uid="{C14BEF3B-4D85-4A3B-A6E7-4E74EDCC41F5}" name="Titre" dataDxfId="15"/>
    <tableColumn id="4" xr3:uid="{12127D4B-4C76-408D-9CED-BFE4B6A63B10}" name="Pour qui ?" dataDxfId="14"/>
    <tableColumn id="5" xr3:uid="{362006E7-02C9-470C-9764-BD2ED0858D8E}" name="Objectif et compétences clés" dataDxfId="13"/>
    <tableColumn id="6" xr3:uid="{E6CB48A6-5DC8-47B1-AF28-2E260915CC1D}" name="Priorité" dataDxfId="12"/>
    <tableColumn id="7" xr3:uid="{D24D292E-DBC0-404F-941C-CFEBE4335D3B}" name="Ordre" dataDxfId="11"/>
    <tableColumn id="8" xr3:uid="{CB9CF23A-9387-40D9-91CC-DB42280CFC22}" name="Intérêt / moment conseillé" dataDxfId="10"/>
    <tableColumn id="9" xr3:uid="{A9CD7D5E-8DF0-4455-844D-7A2BD967E6EA}" name="Lien officiel" dataDxfId="9"/>
    <tableColumn id="10" xr3:uid="{BC67CCC5-7731-4053-AF63-CCC525FB3931}" name="Prix de l’examen" dataDxfId="8"/>
  </tableColumns>
  <tableStyleInfo name="TableStyleMedium4"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DDF4EEE-E50B-4023-B2AE-D75EC9BDFD6F}" name="Tableau8" displayName="Tableau8" ref="A13:D21" totalsRowShown="0" headerRowDxfId="1" dataDxfId="0">
  <autoFilter ref="A13:D21" xr:uid="{ADDF4EEE-E50B-4023-B2AE-D75EC9BDFD6F}"/>
  <tableColumns count="4">
    <tableColumn id="1" xr3:uid="{599D76A7-528D-4B9E-8F86-F147285E2A9D}" name="Repère" dataDxfId="5"/>
    <tableColumn id="2" xr3:uid="{EAF6BF54-2906-4C94-AF9D-B8069A5DAE78}" name="Nature" dataDxfId="4"/>
    <tableColumn id="3" xr3:uid="{7464192D-284F-456F-A935-318A4EB8029D}" name="Description" dataDxfId="3"/>
    <tableColumn id="4" xr3:uid="{B0D65618-1B5E-4C5A-ACD8-2ABCDE27EBF2}" name="Exemples parmi les certifications et Applied Skills" dataDxfId="2"/>
  </tableColumns>
  <tableStyleInfo name="TableStyleMedium4"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table" Target="../tables/table8.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hyperlink" Target="https://learn.microsoft.com/fr-fr/credentials/certifications/ai-business-profession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F901E-D008-489B-8389-0CF8F8FF286D}">
  <sheetPr>
    <tabColor rgb="FFFF4FB8"/>
  </sheetPr>
  <dimension ref="A1:C44"/>
  <sheetViews>
    <sheetView showGridLines="0" tabSelected="1" topLeftCell="A6" zoomScaleNormal="100" workbookViewId="0">
      <selection activeCell="A10" sqref="A10"/>
    </sheetView>
  </sheetViews>
  <sheetFormatPr baseColWidth="10" defaultRowHeight="14.5" x14ac:dyDescent="0.35"/>
  <cols>
    <col min="1" max="1" width="40" customWidth="1"/>
    <col min="2" max="2" width="80.453125" customWidth="1"/>
    <col min="3" max="3" width="1.81640625" bestFit="1" customWidth="1"/>
    <col min="4" max="8" width="14.54296875" customWidth="1"/>
  </cols>
  <sheetData>
    <row r="1" spans="1:2" ht="48" customHeight="1" x14ac:dyDescent="0.35">
      <c r="A1" s="104" t="s">
        <v>1962</v>
      </c>
      <c r="B1" s="104"/>
    </row>
    <row r="2" spans="1:2" ht="30" customHeight="1" x14ac:dyDescent="0.35">
      <c r="A2" s="105" t="s">
        <v>1963</v>
      </c>
      <c r="B2" s="105"/>
    </row>
    <row r="3" spans="1:2" ht="36" customHeight="1" x14ac:dyDescent="0.35">
      <c r="A3" s="106" t="s">
        <v>1964</v>
      </c>
      <c r="B3" s="107"/>
    </row>
    <row r="4" spans="1:2" x14ac:dyDescent="0.35">
      <c r="A4" s="81"/>
      <c r="B4" s="81"/>
    </row>
    <row r="5" spans="1:2" x14ac:dyDescent="0.35">
      <c r="A5" s="110" t="s">
        <v>1051</v>
      </c>
      <c r="B5" s="110"/>
    </row>
    <row r="6" spans="1:2" ht="48" customHeight="1" x14ac:dyDescent="0.35">
      <c r="A6" s="87" t="str">
        <f>ROWS(Tableau1[#Data])&amp;" notions"</f>
        <v>106 notions</v>
      </c>
      <c r="B6" s="88" t="str">
        <f>ROWS(TableauConsolide[#Data])&amp;" besoins"</f>
        <v>17 besoins</v>
      </c>
    </row>
    <row r="7" spans="1:2" x14ac:dyDescent="0.35">
      <c r="A7" s="89" t="s">
        <v>990</v>
      </c>
      <c r="B7" s="89" t="s">
        <v>991</v>
      </c>
    </row>
    <row r="8" spans="1:2" x14ac:dyDescent="0.35">
      <c r="A8" s="81"/>
      <c r="B8" s="81"/>
    </row>
    <row r="9" spans="1:2" ht="48" customHeight="1" x14ac:dyDescent="0.35">
      <c r="A9" s="87" t="str">
        <f>ROWS(Tableau5[#Data])&amp;" AGENTS &amp; ASSISTANTS IA"</f>
        <v>25 AGENTS &amp; ASSISTANTS IA</v>
      </c>
      <c r="B9" s="88" t="str">
        <f>ROWS(BibliothequePrompts[ID])&amp;" prompts"</f>
        <v>40 prompts</v>
      </c>
    </row>
    <row r="10" spans="1:2" ht="30" customHeight="1" x14ac:dyDescent="0.35">
      <c r="A10" s="89" t="str">
        <f>COUNTIF(Tableau5[Type d’expérience],"Agent")&amp;" agent · "&amp;COUNTIF(Tableau5[Type d’expérience],"Assistant")&amp;" assistants · "&amp;COUNTIF(Tableau5[Type d’expérience],"Agent spécialisé")&amp;" agents spécialisés · "&amp;COUNTIF(Tableau5[Type d’expérience],"Fonctionnalité IA")&amp;" fonctionnalités IA"</f>
        <v>1 agent · 5 assistants · 16 agents spécialisés · 3 fonctionnalités IA</v>
      </c>
      <c r="B10" s="89" t="s">
        <v>992</v>
      </c>
    </row>
    <row r="11" spans="1:2" x14ac:dyDescent="0.35">
      <c r="A11" s="81"/>
      <c r="B11" s="81"/>
    </row>
    <row r="12" spans="1:2" ht="28.5" x14ac:dyDescent="0.35">
      <c r="A12" s="87" t="str">
        <f>ROWS(Tableau7[#Data])&amp;" certifications"</f>
        <v>8 certifications</v>
      </c>
      <c r="B12" s="88" t="str">
        <f>ROWS(SourcesPrompts[#Data])&amp;" sources"</f>
        <v>7 sources</v>
      </c>
    </row>
    <row r="13" spans="1:2" x14ac:dyDescent="0.35">
      <c r="A13" s="89" t="s">
        <v>993</v>
      </c>
      <c r="B13" s="89" t="s">
        <v>994</v>
      </c>
    </row>
    <row r="14" spans="1:2" x14ac:dyDescent="0.35">
      <c r="A14" s="81"/>
      <c r="B14" s="81"/>
    </row>
    <row r="15" spans="1:2" ht="24" customHeight="1" x14ac:dyDescent="0.4">
      <c r="A15" s="111" t="s">
        <v>1965</v>
      </c>
      <c r="B15" s="112"/>
    </row>
    <row r="16" spans="1:2" ht="28" customHeight="1" x14ac:dyDescent="0.35">
      <c r="A16" s="100" t="s">
        <v>1966</v>
      </c>
      <c r="B16" s="99" t="s">
        <v>1967</v>
      </c>
    </row>
    <row r="17" spans="1:3" ht="28" customHeight="1" x14ac:dyDescent="0.35">
      <c r="A17" s="101" t="s">
        <v>1968</v>
      </c>
      <c r="B17" s="99" t="s">
        <v>1969</v>
      </c>
    </row>
    <row r="18" spans="1:3" x14ac:dyDescent="0.35">
      <c r="A18" s="92"/>
      <c r="B18" s="90"/>
    </row>
    <row r="19" spans="1:3" ht="22" customHeight="1" x14ac:dyDescent="0.35">
      <c r="A19" s="118" t="s">
        <v>1970</v>
      </c>
      <c r="B19" s="119"/>
    </row>
    <row r="20" spans="1:3" ht="29" x14ac:dyDescent="0.35">
      <c r="A20" s="91" t="s">
        <v>1052</v>
      </c>
      <c r="B20" s="98" t="s">
        <v>2324</v>
      </c>
    </row>
    <row r="21" spans="1:3" ht="29" x14ac:dyDescent="0.35">
      <c r="A21" s="91" t="s">
        <v>1088</v>
      </c>
      <c r="B21" s="98" t="s">
        <v>2325</v>
      </c>
    </row>
    <row r="22" spans="1:3" ht="29" x14ac:dyDescent="0.35">
      <c r="A22" s="103" t="s">
        <v>1053</v>
      </c>
      <c r="B22" s="93" t="s">
        <v>2326</v>
      </c>
    </row>
    <row r="23" spans="1:3" ht="29" x14ac:dyDescent="0.35">
      <c r="A23" s="94" t="s">
        <v>1055</v>
      </c>
      <c r="B23" s="93" t="s">
        <v>2327</v>
      </c>
    </row>
    <row r="24" spans="1:3" ht="2" customHeight="1" x14ac:dyDescent="0.35"/>
    <row r="25" spans="1:3" ht="2" customHeight="1" x14ac:dyDescent="0.35"/>
    <row r="26" spans="1:3" ht="2" customHeight="1" x14ac:dyDescent="0.35">
      <c r="C26">
        <f>COUNTIF($B$37:$B$40,"*COMPRENDRE*")</f>
        <v>2</v>
      </c>
    </row>
    <row r="27" spans="1:3" ht="2" customHeight="1" x14ac:dyDescent="0.35">
      <c r="C27">
        <f>COUNTIF($B$37:$B$40,"*CHOISIR*")</f>
        <v>0</v>
      </c>
    </row>
    <row r="28" spans="1:3" ht="2" customHeight="1" x14ac:dyDescent="0.35">
      <c r="C28">
        <f>COUNTIF($B$37:$B$40,"*AGIR*")</f>
        <v>0</v>
      </c>
    </row>
    <row r="29" spans="1:3" ht="2" customHeight="1" x14ac:dyDescent="0.35">
      <c r="C29">
        <f>COUNTIF($B$37:$B$40,"*EXPÉRIMENTER*")</f>
        <v>1</v>
      </c>
    </row>
    <row r="30" spans="1:3" ht="2" customHeight="1" x14ac:dyDescent="0.35">
      <c r="C30">
        <f>COUNTIF($B$37:$B$40,"*PROGRESSER*")</f>
        <v>1</v>
      </c>
    </row>
    <row r="31" spans="1:3" ht="2" customHeight="1" x14ac:dyDescent="0.35">
      <c r="A31" s="81"/>
      <c r="B31" s="81"/>
    </row>
    <row r="32" spans="1:3" ht="25" thickBot="1" x14ac:dyDescent="0.4">
      <c r="A32" s="113" t="s">
        <v>1089</v>
      </c>
      <c r="B32" s="113"/>
    </row>
    <row r="33" spans="1:2" ht="15" thickTop="1" x14ac:dyDescent="0.35">
      <c r="A33" s="114"/>
      <c r="B33" s="114"/>
    </row>
    <row r="34" spans="1:2" ht="21" x14ac:dyDescent="0.35">
      <c r="A34" s="115" t="s">
        <v>1201</v>
      </c>
      <c r="B34" s="115"/>
    </row>
    <row r="35" spans="1:2" x14ac:dyDescent="0.35">
      <c r="A35" s="108" t="s">
        <v>1086</v>
      </c>
      <c r="B35" s="108"/>
    </row>
    <row r="36" spans="1:2" x14ac:dyDescent="0.35">
      <c r="A36" s="116" t="s">
        <v>1087</v>
      </c>
      <c r="B36" s="116"/>
    </row>
    <row r="37" spans="1:2" x14ac:dyDescent="0.35">
      <c r="A37" s="95" t="s">
        <v>1075</v>
      </c>
      <c r="B37" s="96" t="s">
        <v>1052</v>
      </c>
    </row>
    <row r="38" spans="1:2" x14ac:dyDescent="0.35">
      <c r="A38" s="95" t="s">
        <v>1076</v>
      </c>
      <c r="B38" s="96" t="s">
        <v>1055</v>
      </c>
    </row>
    <row r="39" spans="1:2" x14ac:dyDescent="0.35">
      <c r="A39" s="95" t="s">
        <v>1077</v>
      </c>
      <c r="B39" s="96" t="s">
        <v>1054</v>
      </c>
    </row>
    <row r="40" spans="1:2" x14ac:dyDescent="0.35">
      <c r="A40" s="95" t="s">
        <v>1083</v>
      </c>
      <c r="B40" s="96" t="s">
        <v>1052</v>
      </c>
    </row>
    <row r="41" spans="1:2" ht="17" x14ac:dyDescent="0.35">
      <c r="A41" s="117" t="str" cm="1">
        <f t="array" ref="A41">_xlfn.LET(_xlpm.p,{"🔎 COMPRENDRE";"🧭 CHOISIR";"⚡ AGIR";"🧪 EXPÉRIMENTER";"🚀 PROGRESSER"},_xlpm.s,$C$26:$C$30,_xlpm.t,_xlpm.s+COUNTIF($B$40,_xlpm.p)/1000+COUNTIF($B$39,_xlpm.p)/10000+COUNTIF($B$38,_xlpm.p)/100000+COUNTIF($B$37,_xlpm.p)/1000000,_xlpm.i,MATCH(MAX(_xlpm.t),_xlpm.t,0),CHOOSE(_xlpm.i,"🟣 VOTRE COULEUR : VIOLET ORCHIDÉE — L’EXPLORATEUR DU SENS","🔷 VOTRE COULEUR : CYAN GLACÉ — LE NAVIGATEUR","🟢 VOTRE COULEUR : VERT MENTHE — LE BÂTISSEUR","🩷 VOTRE COULEUR : FRAMBOISE NÉON — L’EXPÉRIMENTATEUR","🟡 VOTRE COULEUR : AMBRE — L’ASCENSIONNEL"))</f>
        <v>🟣 VOTRE COULEUR : VIOLET ORCHIDÉE — L’EXPLORATEUR DU SENS</v>
      </c>
      <c r="B41" s="117"/>
    </row>
    <row r="42" spans="1:2" x14ac:dyDescent="0.35">
      <c r="A42" s="97" t="s">
        <v>1084</v>
      </c>
      <c r="B42" s="95" t="str" cm="1">
        <f t="array" ref="B42">_xlfn.LET(_xlpm.p,{"🔎 COMPRENDRE";"🧭 CHOISIR";"⚡ AGIR";"🧪 EXPÉRIMENTER";"🚀 PROGRESSER"},_xlpm.s,$C$26:$C$30,_xlpm.t,_xlpm.s+COUNTIF($B$40,_xlpm.p)/1000+COUNTIF($B$39,_xlpm.p)/10000+COUNTIF($B$38,_xlpm.p)/100000+COUNTIF($B$37,_xlpm.p)/1000000,_xlpm.i,MATCH(MAX(_xlpm.t),_xlpm.t,0),CHOOSE(_xlpm.i,"Glossaire + ressources de présentation","Explorer les solutions + Usages &amp; Solutions","Agents","Prompts","Certifications"))</f>
        <v>Glossaire + ressources de présentation</v>
      </c>
    </row>
    <row r="43" spans="1:2" x14ac:dyDescent="0.35">
      <c r="A43" s="97" t="s">
        <v>1085</v>
      </c>
      <c r="B43" s="95" t="str" cm="1">
        <f t="array" ref="B43">_xlfn.LET(_xlpm.p,{"🔎 COMPRENDRE";"🧭 CHOISIR";"⚡ AGIR";"🧪 EXPÉRIMENTER";"🚀 PROGRESSER"},_xlpm.s,$C$26:$C$30,_xlpm.t,_xlpm.s+COUNTIF($B$40,_xlpm.p)/1000+COUNTIF($B$39,_xlpm.p)/10000+COUNTIF($B$38,_xlpm.p)/100000+COUNTIF($B$37,_xlpm.p)/1000000,_xlpm.i,MATCH(MAX(_xlpm.t),_xlpm.t,0),CHOOSE(_xlpm.i,"Expliquez une notion IA complexe à un collègue sans jargon.","Comparez trois solutions IA sur un besoin réel de votre équipe.","Confiez une tâche métier complète à un agent et mesurez le temps gagné.","Testez un prompt sur un vrai livrable et documentez ce qui change.","Choisissez une certification et bloquez votre première session d’apprentissage."))</f>
        <v>Expliquez une notion IA complexe à un collègue sans jargon.</v>
      </c>
    </row>
    <row r="44" spans="1:2" x14ac:dyDescent="0.35">
      <c r="A44" s="81"/>
      <c r="B44" s="81"/>
    </row>
  </sheetData>
  <mergeCells count="12">
    <mergeCell ref="A1:B1"/>
    <mergeCell ref="A2:B2"/>
    <mergeCell ref="A3:B3"/>
    <mergeCell ref="A35:B35"/>
    <mergeCell ref="A5:B5"/>
    <mergeCell ref="A15:B15"/>
    <mergeCell ref="A32:B32"/>
    <mergeCell ref="A33:B33"/>
    <mergeCell ref="A34:B34"/>
    <mergeCell ref="A36:B36"/>
    <mergeCell ref="A41:B41"/>
    <mergeCell ref="A19:B19"/>
  </mergeCells>
  <dataValidations count="1">
    <dataValidation type="list" allowBlank="1" showInputMessage="1" showErrorMessage="1" sqref="B37:B40" xr:uid="{DEB458EA-F059-404F-85FE-8C8E025B856B}">
      <formula1>"🔎 COMPRENDRE,🧭 CHOISIR,⚡ AGIR,🧪 EXPÉRIMENTER,🚀 PROGRESSER"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79B7D-D533-4F91-A304-220705642424}">
  <sheetPr>
    <tabColor rgb="FF58FCEC"/>
  </sheetPr>
  <dimension ref="A1:J36"/>
  <sheetViews>
    <sheetView showGridLines="0" workbookViewId="0">
      <selection activeCell="F35" sqref="F35:J36"/>
    </sheetView>
  </sheetViews>
  <sheetFormatPr baseColWidth="10" defaultRowHeight="14.5" x14ac:dyDescent="0.35"/>
  <cols>
    <col min="1" max="4" width="14.1796875" customWidth="1"/>
    <col min="5" max="5" width="3.6328125" customWidth="1"/>
    <col min="6" max="10" width="14.90625" customWidth="1"/>
  </cols>
  <sheetData>
    <row r="1" spans="1:10" ht="48" customHeight="1" x14ac:dyDescent="0.35">
      <c r="A1" s="104" t="s">
        <v>1944</v>
      </c>
      <c r="B1" s="142"/>
      <c r="C1" s="142"/>
      <c r="D1" s="142"/>
      <c r="E1" s="142"/>
      <c r="F1" s="142"/>
      <c r="G1" s="142"/>
      <c r="H1" s="142"/>
      <c r="I1" s="142"/>
      <c r="J1" s="142"/>
    </row>
    <row r="2" spans="1:10" ht="32" customHeight="1" x14ac:dyDescent="0.35">
      <c r="A2" s="143" t="s">
        <v>1945</v>
      </c>
      <c r="B2" s="142"/>
      <c r="C2" s="142"/>
      <c r="D2" s="142"/>
      <c r="E2" s="142"/>
      <c r="F2" s="142"/>
      <c r="G2" s="142"/>
      <c r="H2" s="142"/>
      <c r="I2" s="142"/>
      <c r="J2" s="142"/>
    </row>
    <row r="3" spans="1:10" ht="22" customHeight="1" x14ac:dyDescent="0.35">
      <c r="A3" s="121" t="s">
        <v>1971</v>
      </c>
      <c r="B3" s="122"/>
      <c r="C3" s="122"/>
      <c r="D3" s="122"/>
      <c r="E3" s="85"/>
      <c r="F3" s="121" t="s">
        <v>1972</v>
      </c>
      <c r="G3" s="122"/>
      <c r="H3" s="122"/>
      <c r="I3" s="122"/>
      <c r="J3" s="122"/>
    </row>
    <row r="4" spans="1:10" ht="20" customHeight="1" x14ac:dyDescent="0.35">
      <c r="A4" s="138" t="s">
        <v>1946</v>
      </c>
      <c r="B4" s="138"/>
      <c r="C4" s="138"/>
      <c r="D4" s="138"/>
      <c r="E4" s="85"/>
      <c r="F4" s="138" t="s">
        <v>1973</v>
      </c>
      <c r="G4" s="138"/>
      <c r="H4" s="138"/>
      <c r="I4" s="138"/>
      <c r="J4" s="138"/>
    </row>
    <row r="5" spans="1:10" ht="28" customHeight="1" x14ac:dyDescent="0.35">
      <c r="A5" s="140" t="s">
        <v>1947</v>
      </c>
      <c r="B5" s="140"/>
      <c r="C5" s="140"/>
      <c r="D5" s="140"/>
      <c r="E5" s="85"/>
      <c r="F5" s="120" t="str">
        <f>IF($A$9="","Choisis un résultat concret","Tu veux : "&amp;$A$9)</f>
        <v>Tu veux : Produire un premier brouillon</v>
      </c>
      <c r="G5" s="120"/>
      <c r="H5" s="120"/>
      <c r="I5" s="120"/>
      <c r="J5" s="120"/>
    </row>
    <row r="6" spans="1:10" ht="28" customHeight="1" x14ac:dyDescent="0.35">
      <c r="A6" s="141" t="s">
        <v>1753</v>
      </c>
      <c r="B6" s="141"/>
      <c r="C6" s="141"/>
      <c r="D6" s="141"/>
      <c r="E6" s="85"/>
      <c r="F6" s="120" t="str">
        <f>IFERROR(_xlfn.XLOOKUP('Boussole Références'!$T$2,TableauBoussoleCapacites[Capacité],TableauBoussoleCapacites[Formulation utilisateur]),"")</f>
        <v>Créer un nouveau texte à partir de ton objectif et de ton contexte.</v>
      </c>
      <c r="G6" s="120"/>
      <c r="H6" s="120"/>
      <c r="I6" s="120"/>
      <c r="J6" s="120"/>
    </row>
    <row r="7" spans="1:10" ht="20" customHeight="1" x14ac:dyDescent="0.35">
      <c r="A7" s="138" t="s">
        <v>1948</v>
      </c>
      <c r="B7" s="138"/>
      <c r="C7" s="138"/>
      <c r="D7" s="138"/>
      <c r="E7" s="85"/>
      <c r="F7" s="120" t="str">
        <f>IF('Boussole Références'!$T$2="","","Repère Atlas : "&amp;'Boussole Références'!$T$2&amp;IF('Boussole Références'!$U$2="",""," + "&amp;'Boussole Références'!$U$2))</f>
        <v>Repère Atlas : Génération et rédaction de texte</v>
      </c>
      <c r="G7" s="120"/>
      <c r="H7" s="120"/>
      <c r="I7" s="120"/>
      <c r="J7" s="120"/>
    </row>
    <row r="8" spans="1:10" ht="28" customHeight="1" x14ac:dyDescent="0.35">
      <c r="A8" s="140" t="s">
        <v>1949</v>
      </c>
      <c r="B8" s="140"/>
      <c r="C8" s="140"/>
      <c r="D8" s="140"/>
      <c r="E8" s="85"/>
      <c r="F8" s="134" t="s">
        <v>1958</v>
      </c>
      <c r="G8" s="134"/>
      <c r="H8" s="134"/>
      <c r="I8" s="134"/>
      <c r="J8" s="134"/>
    </row>
    <row r="9" spans="1:10" ht="28" customHeight="1" x14ac:dyDescent="0.35">
      <c r="A9" s="141" t="s">
        <v>1754</v>
      </c>
      <c r="B9" s="141"/>
      <c r="C9" s="141"/>
      <c r="D9" s="141"/>
      <c r="E9" s="85"/>
      <c r="F9" s="120" t="str">
        <f>IFERROR("1. "&amp;_xlfn.XLOOKUP($A$9,TableauBoussoleBesoins[Résultat concret],TableauBoussoleBesoins[Action 1]),"")</f>
        <v>1. Définir le public et l’objectif</v>
      </c>
      <c r="G9" s="120"/>
      <c r="H9" s="120"/>
      <c r="I9" s="120"/>
      <c r="J9" s="120"/>
    </row>
    <row r="10" spans="1:10" ht="20" customHeight="1" x14ac:dyDescent="0.35">
      <c r="A10" s="138" t="s">
        <v>1950</v>
      </c>
      <c r="B10" s="138"/>
      <c r="C10" s="138"/>
      <c r="D10" s="138"/>
      <c r="E10" s="85"/>
      <c r="F10" s="120" t="str">
        <f>IFERROR("2. "&amp;_xlfn.XLOOKUP($A$9,TableauBoussoleBesoins[Résultat concret],TableauBoussoleBesoins[Action 2]),"")</f>
        <v>2. Générer un premier texte</v>
      </c>
      <c r="G10" s="120"/>
      <c r="H10" s="120"/>
      <c r="I10" s="120"/>
      <c r="J10" s="120"/>
    </row>
    <row r="11" spans="1:10" ht="28" customHeight="1" x14ac:dyDescent="0.35">
      <c r="A11" s="140" t="s">
        <v>1951</v>
      </c>
      <c r="B11" s="140"/>
      <c r="C11" s="140"/>
      <c r="D11" s="140"/>
      <c r="E11" s="85"/>
      <c r="F11" s="120" t="str">
        <f>IFERROR("3. "&amp;_xlfn.XLOOKUP($A$9,TableauBoussoleBesoins[Résultat concret],TableauBoussoleBesoins[Action 3]),"")</f>
        <v>3. Relire et préciser les attentes</v>
      </c>
      <c r="G11" s="120"/>
      <c r="H11" s="120"/>
      <c r="I11" s="120"/>
      <c r="J11" s="120"/>
    </row>
    <row r="12" spans="1:10" ht="28" customHeight="1" x14ac:dyDescent="0.35">
      <c r="A12" s="141" t="s">
        <v>1925</v>
      </c>
      <c r="B12" s="141"/>
      <c r="C12" s="141"/>
      <c r="D12" s="141"/>
      <c r="E12" s="85"/>
      <c r="F12" s="85"/>
      <c r="G12" s="85"/>
      <c r="H12" s="85"/>
      <c r="I12" s="85"/>
      <c r="J12" s="85"/>
    </row>
    <row r="13" spans="1:10" ht="20" customHeight="1" x14ac:dyDescent="0.35">
      <c r="A13" s="138" t="s">
        <v>1952</v>
      </c>
      <c r="B13" s="138"/>
      <c r="C13" s="138"/>
      <c r="D13" s="138"/>
      <c r="E13" s="85"/>
      <c r="F13" s="138" t="s">
        <v>1974</v>
      </c>
      <c r="G13" s="138"/>
      <c r="H13" s="138"/>
      <c r="I13" s="138"/>
      <c r="J13" s="138"/>
    </row>
    <row r="14" spans="1:10" ht="24" customHeight="1" x14ac:dyDescent="0.35">
      <c r="A14" s="140" t="s">
        <v>1953</v>
      </c>
      <c r="B14" s="140"/>
      <c r="C14" s="140"/>
      <c r="D14" s="140"/>
      <c r="E14" s="85"/>
      <c r="F14" s="135" t="str">
        <f>IFERROR(INDEX(_xlfn.ANCHORARRAY('Boussole Références'!$R$5),1,2),"Aucun outil clairement associé")</f>
        <v>Microsoft 365 Copilot</v>
      </c>
      <c r="G14" s="136"/>
      <c r="H14" s="136"/>
      <c r="I14" s="136"/>
      <c r="J14" s="136"/>
    </row>
    <row r="15" spans="1:10" ht="24" customHeight="1" x14ac:dyDescent="0.35">
      <c r="A15" s="141" t="s">
        <v>1713</v>
      </c>
      <c r="B15" s="141"/>
      <c r="C15" s="141"/>
      <c r="D15" s="141"/>
      <c r="E15" s="85"/>
      <c r="F15" s="136" t="str">
        <f>IFERROR("Niveau : "&amp;IF(INDEX(_xlfn.ANCHORARRAY('Boussole Références'!$R$5),1,7)="","À vérifier",INDEX(_xlfn.ANCHORARRAY('Boussole Références'!$R$5),1,7))&amp;"  •  Coût/offre : "&amp;IF(INDEX(_xlfn.ANCHORARRAY('Boussole Références'!$R$5),1,5)="",IF(INDEX(_xlfn.ANCHORARRAY('Boussole Références'!$R$5),1,6)="","À vérifier",INDEX(_xlfn.ANCHORARRAY('Boussole Références'!$R$5),1,6)),INDEX(_xlfn.ANCHORARRAY('Boussole Références'!$R$5),1,5)),"À vérifier")</f>
        <v>Niveau : Inconnu  •  Coût/offre : Inconnu</v>
      </c>
      <c r="G15" s="136"/>
      <c r="H15" s="136"/>
      <c r="I15" s="136"/>
      <c r="J15" s="136"/>
    </row>
    <row r="16" spans="1:10" ht="24" customHeight="1" x14ac:dyDescent="0.35">
      <c r="A16" s="138" t="s">
        <v>1954</v>
      </c>
      <c r="B16" s="138"/>
      <c r="C16" s="138"/>
      <c r="D16" s="138"/>
      <c r="E16" s="85"/>
      <c r="F16" s="136" t="str">
        <f>IFERROR("Disponibilité : "&amp;IF(INDEX(_xlfn.ANCHORARRAY('Boussole Références'!$R$5),1,8)="","À vérifier",INDEX(_xlfn.ANCHORARRAY('Boussole Références'!$R$5),1,8))&amp;"  •  Confiance : "&amp;IF(INDEX(_xlfn.ANCHORARRAY('Boussole Références'!$R$5),1,9)="","Référencé",INDEX(_xlfn.ANCHORARRAY('Boussole Références'!$R$5),1,9)),"À vérifier")</f>
        <v>Disponibilité : Limité / dépend de l’offre  •  Confiance : Référencé</v>
      </c>
      <c r="G16" s="136"/>
      <c r="H16" s="136"/>
      <c r="I16" s="136"/>
      <c r="J16" s="136"/>
    </row>
    <row r="17" spans="1:10" ht="24" customHeight="1" x14ac:dyDescent="0.35">
      <c r="A17" s="140" t="s">
        <v>1955</v>
      </c>
      <c r="B17" s="140"/>
      <c r="C17" s="140"/>
      <c r="D17" s="140"/>
      <c r="E17" s="85"/>
      <c r="F17" s="136" t="str">
        <f>IF(F14="Aucun outil clairement associé","","Présent dans l’Atlas pour : "&amp;'Boussole Références'!$T$2&amp;". L’environnement choisi reste une préférence.")</f>
        <v>Présent dans l’Atlas pour : Génération et rédaction de texte. L’environnement choisi reste une préférence.</v>
      </c>
      <c r="G17" s="136"/>
      <c r="H17" s="136"/>
      <c r="I17" s="136"/>
      <c r="J17" s="136"/>
    </row>
    <row r="18" spans="1:10" ht="28" customHeight="1" x14ac:dyDescent="0.35">
      <c r="A18" s="141" t="s">
        <v>1937</v>
      </c>
      <c r="B18" s="141"/>
      <c r="C18" s="141"/>
      <c r="D18" s="141"/>
      <c r="E18" s="85"/>
      <c r="F18" s="85"/>
      <c r="G18" s="85"/>
      <c r="H18" s="85"/>
      <c r="I18" s="85"/>
      <c r="J18" s="85"/>
    </row>
    <row r="19" spans="1:10" ht="20" customHeight="1" x14ac:dyDescent="0.35">
      <c r="A19" s="85"/>
      <c r="B19" s="85"/>
      <c r="C19" s="85"/>
      <c r="D19" s="85"/>
      <c r="E19" s="85"/>
      <c r="F19" s="134" t="s">
        <v>1959</v>
      </c>
      <c r="G19" s="134"/>
      <c r="H19" s="134"/>
      <c r="I19" s="134"/>
      <c r="J19" s="134"/>
    </row>
    <row r="20" spans="1:10" ht="28" customHeight="1" x14ac:dyDescent="0.35">
      <c r="A20" s="138" t="s">
        <v>1956</v>
      </c>
      <c r="B20" s="138"/>
      <c r="C20" s="138"/>
      <c r="D20" s="138"/>
      <c r="E20" s="85"/>
      <c r="F20" s="139" t="str">
        <f>IFERROR(INDEX(_xlfn.ANCHORARRAY('Boussole Références'!$AC$5),1,2),"Aucun prompt directement relié pour le moment")</f>
        <v>Aucun prompt directement relié pour le moment</v>
      </c>
      <c r="G20" s="120"/>
      <c r="H20" s="120"/>
      <c r="I20" s="120"/>
      <c r="J20" s="120"/>
    </row>
    <row r="21" spans="1:10" ht="32" customHeight="1" x14ac:dyDescent="0.35">
      <c r="A21" s="137" t="str">
        <f>Accueil!A41</f>
        <v>🟣 VOTRE COULEUR : VIOLET ORCHIDÉE — L’EXPLORATEUR DU SENS</v>
      </c>
      <c r="B21" s="120"/>
      <c r="C21" s="120"/>
      <c r="D21" s="120"/>
      <c r="E21" s="85"/>
      <c r="F21" s="120" t="str">
        <f>IFERROR(INDEX(_xlfn.ANCHORARRAY('Boussole Références'!$AC$5),1,3),"")</f>
        <v/>
      </c>
      <c r="G21" s="120"/>
      <c r="H21" s="120"/>
      <c r="I21" s="120"/>
      <c r="J21" s="120"/>
    </row>
    <row r="22" spans="1:10" ht="32" customHeight="1" x14ac:dyDescent="0.35">
      <c r="A22" s="120" t="s">
        <v>1957</v>
      </c>
      <c r="B22" s="120"/>
      <c r="C22" s="120"/>
      <c r="D22" s="120"/>
      <c r="E22" s="85"/>
      <c r="F22" s="120"/>
      <c r="G22" s="120"/>
      <c r="H22" s="120"/>
      <c r="I22" s="120"/>
      <c r="J22" s="120"/>
    </row>
    <row r="23" spans="1:10" ht="32" customHeight="1" x14ac:dyDescent="0.35">
      <c r="A23" s="120"/>
      <c r="B23" s="120"/>
      <c r="C23" s="120"/>
      <c r="D23" s="120"/>
      <c r="E23" s="85"/>
      <c r="F23" s="120"/>
      <c r="G23" s="120"/>
      <c r="H23" s="120"/>
      <c r="I23" s="120"/>
      <c r="J23" s="120"/>
    </row>
    <row r="24" spans="1:10" ht="28" customHeight="1" x14ac:dyDescent="0.35">
      <c r="A24" s="85"/>
      <c r="B24" s="85"/>
      <c r="C24" s="85"/>
      <c r="D24" s="85"/>
      <c r="E24" s="85"/>
      <c r="F24" s="133" t="str">
        <f>IFERROR("Statut : "&amp;INDEX(_xlfn.ANCHORARRAY('Boussole Références'!$AC$5),1,4)&amp;"  •  Variables : "&amp;INDEX(_xlfn.ANCHORARRAY('Boussole Références'!$AC$5),1,5),"")</f>
        <v/>
      </c>
      <c r="G24" s="120"/>
      <c r="H24" s="120"/>
      <c r="I24" s="120"/>
      <c r="J24" s="120"/>
    </row>
    <row r="25" spans="1:10" ht="23" customHeight="1" x14ac:dyDescent="0.35">
      <c r="A25" s="123" t="s">
        <v>1976</v>
      </c>
      <c r="B25" s="124"/>
      <c r="C25" s="124"/>
      <c r="D25" s="124"/>
      <c r="E25" s="85"/>
      <c r="F25" s="85"/>
      <c r="G25" s="85"/>
      <c r="H25" s="85"/>
      <c r="I25" s="85"/>
      <c r="J25" s="85"/>
    </row>
    <row r="26" spans="1:10" ht="23" customHeight="1" x14ac:dyDescent="0.35">
      <c r="A26" s="125" t="s">
        <v>1977</v>
      </c>
      <c r="B26" s="126"/>
      <c r="C26" s="126"/>
      <c r="D26" s="126"/>
      <c r="E26" s="85"/>
      <c r="F26" s="134" t="s">
        <v>1975</v>
      </c>
      <c r="G26" s="134"/>
      <c r="H26" s="134"/>
      <c r="I26" s="134"/>
      <c r="J26" s="134"/>
    </row>
    <row r="27" spans="1:10" ht="23" customHeight="1" x14ac:dyDescent="0.35">
      <c r="A27" s="121" t="s">
        <v>1978</v>
      </c>
      <c r="B27" s="122"/>
      <c r="C27" s="122"/>
      <c r="D27" s="122"/>
      <c r="E27" s="85"/>
      <c r="F27" s="120" t="str">
        <f>IFERROR("• "&amp;INDEX(_xlfn.ANCHORARRAY('Boussole Références'!$R$5),2,2),"")</f>
        <v>• Microsoft PowerPoint</v>
      </c>
      <c r="G27" s="120"/>
      <c r="H27" s="120"/>
      <c r="I27" s="120"/>
      <c r="J27" s="120"/>
    </row>
    <row r="28" spans="1:10" ht="23" customHeight="1" x14ac:dyDescent="0.35">
      <c r="A28" s="127" t="s">
        <v>1979</v>
      </c>
      <c r="B28" s="128"/>
      <c r="C28" s="128"/>
      <c r="D28" s="128"/>
      <c r="E28" s="85"/>
      <c r="F28" s="120" t="str">
        <f>IFERROR("• "&amp;INDEX(_xlfn.ANCHORARRAY('Boussole Références'!$R$5),3,2),"")</f>
        <v>• Microsoft Word</v>
      </c>
      <c r="G28" s="120"/>
      <c r="H28" s="120"/>
      <c r="I28" s="120"/>
      <c r="J28" s="120"/>
    </row>
    <row r="29" spans="1:10" ht="23" customHeight="1" x14ac:dyDescent="0.35">
      <c r="A29" s="129" t="s">
        <v>1980</v>
      </c>
      <c r="B29" s="130"/>
      <c r="C29" s="130"/>
      <c r="D29" s="130"/>
      <c r="E29" s="85"/>
      <c r="F29" s="120" t="str">
        <f>_xlfn.LET(_xlpm.experienceId,_xlfn.XLOOKUP('Boussole Références'!$T$2,TableauBoussoleCapacites[Capacité],TableauBoussoleCapacites[ID Agent],""),IF(_xlpm.experienceId="","",IFERROR("• Agent ou assistant pertinent : "&amp;_xlfn.XLOOKUP(_xlpm.experienceId,Tableau5[ID Agent],Tableau5[Agent])&amp;" — "&amp;_xlfn.XLOOKUP(_xlpm.experienceId,Tableau5[ID Agent],Tableau5[Type d’expérience])&amp;" · "&amp;_xlfn.XLOOKUP(_xlpm.experienceId,Tableau5[ID Agent],Tableau5[Niveau d’autonomie]),"")))</f>
        <v>• Agent ou assistant pertinent : Word — Fonctionnalité IA · Assistance</v>
      </c>
      <c r="G29" s="120"/>
      <c r="H29" s="120"/>
      <c r="I29" s="120"/>
      <c r="J29" s="120"/>
    </row>
    <row r="30" spans="1:10" ht="20" customHeight="1" x14ac:dyDescent="0.35">
      <c r="A30" s="85"/>
      <c r="B30" s="85"/>
      <c r="C30" s="85"/>
      <c r="D30" s="85"/>
      <c r="E30" s="85"/>
      <c r="F30" s="134" t="s">
        <v>1960</v>
      </c>
      <c r="G30" s="134"/>
      <c r="H30" s="134"/>
      <c r="I30" s="134"/>
      <c r="J30" s="134"/>
    </row>
    <row r="31" spans="1:10" ht="24" customHeight="1" x14ac:dyDescent="0.35">
      <c r="A31" s="131" t="s">
        <v>1981</v>
      </c>
      <c r="B31" s="132"/>
      <c r="C31" s="132"/>
      <c r="D31" s="132"/>
      <c r="E31" s="85"/>
      <c r="F31" s="120" t="str">
        <f>_xlfn.LET(_xlpm.cap,'Boussole Références'!$T$2,_xlpm.notionA,_xlfn.XLOOKUP(_xlpm.cap,TableauBoussoleCapacites[Capacité],TableauBoussoleCapacites[Notion 1],""),_xlpm.notionB,_xlfn.XLOOKUP(_xlpm.cap,TableauBoussoleCapacites[Capacité],TableauBoussoleCapacites[Notion 2],""),_xlpm.notionC,_xlfn.XLOOKUP(_xlpm.cap,TableauBoussoleCapacites[Capacité],TableauBoussoleCapacites[Notion 3],""),_xlfn.TEXTJOIN("  •  ",TRUE,_xlpm.notionA,_xlpm.notionB,_xlpm.notionC))</f>
        <v>Prompt  •  Role Prompting  •  Few-shot Learning</v>
      </c>
      <c r="G31" s="120"/>
      <c r="H31" s="120"/>
      <c r="I31" s="120"/>
      <c r="J31" s="120"/>
    </row>
    <row r="32" spans="1:10" x14ac:dyDescent="0.35">
      <c r="A32" s="85"/>
      <c r="B32" s="85"/>
      <c r="C32" s="85"/>
      <c r="D32" s="85"/>
      <c r="E32" s="85"/>
      <c r="F32" s="85"/>
      <c r="G32" s="85"/>
      <c r="H32" s="85"/>
      <c r="I32" s="85"/>
      <c r="J32" s="85"/>
    </row>
    <row r="33" spans="1:10" ht="20" customHeight="1" x14ac:dyDescent="0.35">
      <c r="A33" s="85"/>
      <c r="B33" s="85"/>
      <c r="C33" s="85"/>
      <c r="D33" s="85"/>
      <c r="E33" s="85"/>
      <c r="F33" s="134" t="s">
        <v>1961</v>
      </c>
      <c r="G33" s="134"/>
      <c r="H33" s="134"/>
      <c r="I33" s="134"/>
      <c r="J33" s="134"/>
    </row>
    <row r="34" spans="1:10" ht="28" customHeight="1" x14ac:dyDescent="0.35">
      <c r="A34" s="85"/>
      <c r="B34" s="85"/>
      <c r="C34" s="85"/>
      <c r="D34" s="85"/>
      <c r="E34" s="85"/>
      <c r="F34" s="120" t="str">
        <f>_xlfn.LET(_xlpm.cap,'Boussole Références'!$T$2,_xlpm.certId,_xlfn.XLOOKUP(_xlpm.cap,TableauBoussoleCapacites[Capacité],TableauBoussoleCapacites[ID Certification],""),IF(_xlpm.certId="","Aucune certification directement reliée",IFERROR(_xlfn.XLOOKUP(_xlpm.certId,Tableau7[ID Titre],Tableau7[Certification]),"Aucune certification directement reliée")))</f>
        <v>AB-730
AI Business Professional</v>
      </c>
      <c r="G34" s="120"/>
      <c r="H34" s="120"/>
      <c r="I34" s="120"/>
      <c r="J34" s="120"/>
    </row>
    <row r="35" spans="1:10" ht="28" customHeight="1" x14ac:dyDescent="0.35">
      <c r="A35" s="85"/>
      <c r="B35" s="85"/>
      <c r="C35" s="85"/>
      <c r="D35" s="85"/>
      <c r="E35" s="85"/>
      <c r="F35" s="120" t="str">
        <f>Accueil!A41&amp;" — "&amp;Accueil!B43</f>
        <v>🟣 VOTRE COULEUR : VIOLET ORCHIDÉE — L’EXPLORATEUR DU SENS — Expliquez une notion IA complexe à un collègue sans jargon.</v>
      </c>
      <c r="G35" s="120"/>
      <c r="H35" s="120"/>
      <c r="I35" s="120"/>
      <c r="J35" s="120"/>
    </row>
    <row r="36" spans="1:10" ht="28" customHeight="1" x14ac:dyDescent="0.35">
      <c r="A36" s="85"/>
      <c r="B36" s="85"/>
      <c r="C36" s="85"/>
      <c r="D36" s="85"/>
      <c r="E36" s="85"/>
      <c r="F36" s="120"/>
      <c r="G36" s="120"/>
      <c r="H36" s="120"/>
      <c r="I36" s="120"/>
      <c r="J36" s="120"/>
    </row>
  </sheetData>
  <mergeCells count="54">
    <mergeCell ref="A13:D13"/>
    <mergeCell ref="A1:J1"/>
    <mergeCell ref="A2:J2"/>
    <mergeCell ref="A4:D4"/>
    <mergeCell ref="A5:D5"/>
    <mergeCell ref="A6:D6"/>
    <mergeCell ref="A7:D7"/>
    <mergeCell ref="A8:D8"/>
    <mergeCell ref="A9:D9"/>
    <mergeCell ref="A10:D10"/>
    <mergeCell ref="A11:D11"/>
    <mergeCell ref="A12:D12"/>
    <mergeCell ref="A21:D21"/>
    <mergeCell ref="A22:D23"/>
    <mergeCell ref="F4:J4"/>
    <mergeCell ref="F8:J8"/>
    <mergeCell ref="F13:J13"/>
    <mergeCell ref="F19:J19"/>
    <mergeCell ref="F15:J15"/>
    <mergeCell ref="F16:J16"/>
    <mergeCell ref="F17:J17"/>
    <mergeCell ref="F20:J20"/>
    <mergeCell ref="A14:D14"/>
    <mergeCell ref="A15:D15"/>
    <mergeCell ref="A16:D16"/>
    <mergeCell ref="A17:D17"/>
    <mergeCell ref="A18:D18"/>
    <mergeCell ref="A20:D20"/>
    <mergeCell ref="F26:J26"/>
    <mergeCell ref="F30:J30"/>
    <mergeCell ref="F33:J33"/>
    <mergeCell ref="F5:J5"/>
    <mergeCell ref="F6:J6"/>
    <mergeCell ref="F7:J7"/>
    <mergeCell ref="F9:J9"/>
    <mergeCell ref="F10:J10"/>
    <mergeCell ref="F11:J11"/>
    <mergeCell ref="F14:J14"/>
    <mergeCell ref="F34:J34"/>
    <mergeCell ref="F35:J36"/>
    <mergeCell ref="A3:D3"/>
    <mergeCell ref="F3:J3"/>
    <mergeCell ref="A25:D25"/>
    <mergeCell ref="A26:D26"/>
    <mergeCell ref="A27:D27"/>
    <mergeCell ref="A28:D28"/>
    <mergeCell ref="A29:D29"/>
    <mergeCell ref="A31:D31"/>
    <mergeCell ref="F21:J23"/>
    <mergeCell ref="F24:J24"/>
    <mergeCell ref="F27:J27"/>
    <mergeCell ref="F28:J28"/>
    <mergeCell ref="F29:J29"/>
    <mergeCell ref="F31:J31"/>
  </mergeCells>
  <dataValidations count="5">
    <dataValidation type="list" allowBlank="1" showInputMessage="1" showErrorMessage="1" sqref="A6" xr:uid="{4E01FF19-D087-4E06-951C-9A96EAE969CE}">
      <formula1>Boussole_Q1_Liste</formula1>
    </dataValidation>
    <dataValidation type="list" allowBlank="1" showInputMessage="1" showErrorMessage="1" sqref="A9" xr:uid="{35496E9A-314E-4B3E-88E9-96A50104D407}">
      <formula1>Boussole_Q2_Liste</formula1>
    </dataValidation>
    <dataValidation type="list" allowBlank="1" showInputMessage="1" showErrorMessage="1" sqref="A12" xr:uid="{B56A632D-0EC1-451C-9FB9-C94A48C29C1A}">
      <formula1>Boussole_Q3_Liste</formula1>
    </dataValidation>
    <dataValidation type="list" allowBlank="1" showInputMessage="1" showErrorMessage="1" sqref="A15" xr:uid="{DD412086-B3D4-4DFB-B6FA-9F88F92DF2B6}">
      <formula1>Boussole_Q4_Liste</formula1>
    </dataValidation>
    <dataValidation type="list" allowBlank="1" showInputMessage="1" showErrorMessage="1" sqref="A18" xr:uid="{80042758-C3B1-4C5A-BE86-2D20A7660390}">
      <formula1>Boussole_Q5_Liste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376CB9-82E4-428B-B46B-CDFE12297465}">
  <sheetPr>
    <tabColor rgb="FF58FCEC"/>
  </sheetPr>
  <dimension ref="A1:Q150"/>
  <sheetViews>
    <sheetView showGridLines="0" workbookViewId="0">
      <selection activeCell="A8" sqref="A8:J8"/>
    </sheetView>
  </sheetViews>
  <sheetFormatPr baseColWidth="10" defaultRowHeight="14.5" x14ac:dyDescent="0.35"/>
  <cols>
    <col min="1" max="1" width="8.7265625" customWidth="1"/>
    <col min="2" max="2" width="16.7265625" customWidth="1"/>
    <col min="3" max="3" width="11.26953125" customWidth="1"/>
    <col min="4" max="4" width="14.90625" customWidth="1"/>
    <col min="5" max="5" width="27.6328125" customWidth="1"/>
    <col min="6" max="7" width="10" customWidth="1"/>
    <col min="8" max="8" width="19.08984375" customWidth="1"/>
    <col min="9" max="9" width="14.90625" customWidth="1"/>
    <col min="10" max="10" width="10" customWidth="1"/>
  </cols>
  <sheetData>
    <row r="1" spans="1:17" ht="48" customHeight="1" x14ac:dyDescent="0.35">
      <c r="A1" s="104" t="s">
        <v>2101</v>
      </c>
      <c r="B1" s="142"/>
      <c r="C1" s="142"/>
      <c r="D1" s="142"/>
      <c r="E1" s="142"/>
      <c r="F1" s="142"/>
      <c r="G1" s="142"/>
      <c r="H1" s="142"/>
      <c r="I1" s="142"/>
      <c r="J1" s="142"/>
      <c r="M1" t="s">
        <v>2090</v>
      </c>
      <c r="N1" t="s">
        <v>2091</v>
      </c>
      <c r="O1" t="s">
        <v>2092</v>
      </c>
      <c r="P1" t="s">
        <v>2093</v>
      </c>
      <c r="Q1" t="s">
        <v>2094</v>
      </c>
    </row>
    <row r="2" spans="1:17" ht="32" customHeight="1" x14ac:dyDescent="0.35">
      <c r="A2" s="143" t="s">
        <v>2118</v>
      </c>
      <c r="B2" s="120"/>
      <c r="C2" s="120"/>
      <c r="D2" s="120"/>
      <c r="E2" s="120"/>
      <c r="F2" s="120"/>
      <c r="G2" s="208" t="str">
        <f>ROWS(TableauOutils[ID Outil])&amp;" outils référencés — pas nécessairement testés"</f>
        <v>138 outils référencés — pas nécessairement testés</v>
      </c>
      <c r="H2" s="136"/>
      <c r="I2" s="136"/>
      <c r="J2" s="136"/>
      <c r="M2" t="s">
        <v>2095</v>
      </c>
      <c r="N2" t="s">
        <v>2096</v>
      </c>
      <c r="O2" t="s">
        <v>2097</v>
      </c>
      <c r="P2" t="s">
        <v>2098</v>
      </c>
      <c r="Q2" t="s">
        <v>2097</v>
      </c>
    </row>
    <row r="3" spans="1:17" ht="20" customHeight="1" x14ac:dyDescent="0.35">
      <c r="A3" s="209" t="s">
        <v>2102</v>
      </c>
      <c r="B3" s="142"/>
      <c r="C3" s="142"/>
      <c r="D3" s="142"/>
      <c r="E3" s="142"/>
      <c r="F3" s="142"/>
      <c r="G3" s="142"/>
      <c r="H3" s="142"/>
      <c r="I3" s="142"/>
      <c r="J3" s="142"/>
      <c r="M3" t="s">
        <v>1399</v>
      </c>
      <c r="N3" t="s">
        <v>1413</v>
      </c>
      <c r="O3" t="s">
        <v>372</v>
      </c>
      <c r="P3" t="s">
        <v>1625</v>
      </c>
      <c r="Q3" t="s">
        <v>1355</v>
      </c>
    </row>
    <row r="4" spans="1:17" ht="20" customHeight="1" x14ac:dyDescent="0.35">
      <c r="A4" s="211" t="s">
        <v>2103</v>
      </c>
      <c r="B4" s="211"/>
      <c r="C4" s="211" t="s">
        <v>2104</v>
      </c>
      <c r="D4" s="211"/>
      <c r="E4" s="211" t="s">
        <v>2105</v>
      </c>
      <c r="F4" s="211"/>
      <c r="G4" s="214" t="s">
        <v>2106</v>
      </c>
      <c r="H4" s="214"/>
      <c r="I4" s="214" t="s">
        <v>2107</v>
      </c>
      <c r="J4" s="214"/>
      <c r="M4" t="s">
        <v>1389</v>
      </c>
      <c r="N4" t="s">
        <v>1447</v>
      </c>
      <c r="O4" t="s">
        <v>380</v>
      </c>
      <c r="P4" t="s">
        <v>87</v>
      </c>
      <c r="Q4" t="s">
        <v>2099</v>
      </c>
    </row>
    <row r="5" spans="1:17" ht="30" customHeight="1" x14ac:dyDescent="0.35">
      <c r="A5" s="215" t="s">
        <v>2095</v>
      </c>
      <c r="B5" s="215"/>
      <c r="C5" s="215" t="s">
        <v>2096</v>
      </c>
      <c r="D5" s="215"/>
      <c r="E5" s="215" t="s">
        <v>2097</v>
      </c>
      <c r="F5" s="215"/>
      <c r="G5" s="217" t="s">
        <v>2098</v>
      </c>
      <c r="H5" s="217"/>
      <c r="I5" s="217" t="s">
        <v>2097</v>
      </c>
      <c r="J5" s="217"/>
      <c r="M5" t="s">
        <v>1388</v>
      </c>
      <c r="N5" t="s">
        <v>1404</v>
      </c>
      <c r="O5" t="s">
        <v>1357</v>
      </c>
      <c r="P5" t="s">
        <v>1612</v>
      </c>
      <c r="Q5" t="s">
        <v>2100</v>
      </c>
    </row>
    <row r="6" spans="1:17" x14ac:dyDescent="0.35">
      <c r="A6" s="85"/>
      <c r="B6" s="85"/>
      <c r="C6" s="85"/>
      <c r="D6" s="85"/>
      <c r="E6" s="85"/>
      <c r="F6" s="85"/>
      <c r="G6" s="85"/>
      <c r="H6" s="85"/>
      <c r="I6" s="85"/>
      <c r="J6" s="85"/>
      <c r="M6" t="s">
        <v>1383</v>
      </c>
      <c r="N6" t="s">
        <v>1422</v>
      </c>
      <c r="O6" t="s">
        <v>1354</v>
      </c>
      <c r="P6" t="s">
        <v>1681</v>
      </c>
      <c r="Q6" t="s">
        <v>1356</v>
      </c>
    </row>
    <row r="7" spans="1:17" x14ac:dyDescent="0.35">
      <c r="A7" s="138" t="s">
        <v>2108</v>
      </c>
      <c r="B7" s="218"/>
      <c r="C7" s="218"/>
      <c r="D7" s="218"/>
      <c r="E7" s="218"/>
      <c r="F7" s="218"/>
      <c r="G7" s="218"/>
      <c r="H7" s="218"/>
      <c r="I7" s="218"/>
      <c r="J7" s="218"/>
      <c r="M7" t="s">
        <v>1384</v>
      </c>
      <c r="N7" t="s">
        <v>1429</v>
      </c>
      <c r="P7" t="s">
        <v>1515</v>
      </c>
      <c r="Q7" t="s">
        <v>1358</v>
      </c>
    </row>
    <row r="8" spans="1:17" ht="30" customHeight="1" x14ac:dyDescent="0.35">
      <c r="A8" s="141"/>
      <c r="B8" s="136"/>
      <c r="C8" s="136"/>
      <c r="D8" s="136"/>
      <c r="E8" s="136"/>
      <c r="F8" s="136"/>
      <c r="G8" s="136"/>
      <c r="H8" s="136"/>
      <c r="I8" s="136"/>
      <c r="J8" s="136"/>
      <c r="M8" t="s">
        <v>1385</v>
      </c>
      <c r="N8" t="s">
        <v>1398</v>
      </c>
      <c r="P8" t="s">
        <v>95</v>
      </c>
      <c r="Q8" t="s">
        <v>1354</v>
      </c>
    </row>
    <row r="9" spans="1:17" x14ac:dyDescent="0.35">
      <c r="A9" s="85"/>
      <c r="B9" s="85"/>
      <c r="C9" s="85"/>
      <c r="D9" s="85"/>
      <c r="E9" s="85"/>
      <c r="F9" s="85"/>
      <c r="G9" s="85"/>
      <c r="H9" s="85"/>
      <c r="I9" s="85"/>
      <c r="J9" s="85"/>
      <c r="M9" t="s">
        <v>1387</v>
      </c>
      <c r="N9" t="s">
        <v>1440</v>
      </c>
      <c r="P9" t="s">
        <v>1650</v>
      </c>
    </row>
    <row r="10" spans="1:17" x14ac:dyDescent="0.35">
      <c r="A10" s="219" t="str">
        <f>"RÉSULTATS — "&amp;IF(A12="Aucun résultat",0,ROWS(_xlfn.ANCHORARRAY(A12)))&amp;" outil(s)  •  Les valeurs Inconnu et À vérifier restent visibles"</f>
        <v>RÉSULTATS — 138 outil(s)  •  Les valeurs Inconnu et À vérifier restent visibles</v>
      </c>
      <c r="B10" s="120"/>
      <c r="C10" s="120"/>
      <c r="D10" s="120"/>
      <c r="E10" s="120"/>
      <c r="F10" s="120"/>
      <c r="G10" s="120"/>
      <c r="H10" s="120"/>
      <c r="I10" s="120"/>
      <c r="J10" s="120"/>
      <c r="M10" t="s">
        <v>1381</v>
      </c>
      <c r="N10" t="s">
        <v>1436</v>
      </c>
      <c r="P10" t="s">
        <v>46</v>
      </c>
    </row>
    <row r="11" spans="1:17" ht="28" customHeight="1" x14ac:dyDescent="0.35">
      <c r="A11" s="220" t="s">
        <v>686</v>
      </c>
      <c r="B11" s="220" t="s">
        <v>97</v>
      </c>
      <c r="C11" s="220" t="s">
        <v>1394</v>
      </c>
      <c r="D11" s="220" t="s">
        <v>1395</v>
      </c>
      <c r="E11" s="220" t="s">
        <v>1396</v>
      </c>
      <c r="F11" s="220" t="s">
        <v>362</v>
      </c>
      <c r="G11" s="220" t="s">
        <v>1349</v>
      </c>
      <c r="H11" s="220" t="s">
        <v>1350</v>
      </c>
      <c r="I11" s="220" t="s">
        <v>1352</v>
      </c>
      <c r="J11" s="220" t="s">
        <v>700</v>
      </c>
      <c r="M11" t="s">
        <v>1382</v>
      </c>
      <c r="N11" t="s">
        <v>1382</v>
      </c>
      <c r="P11" t="s">
        <v>1701</v>
      </c>
    </row>
    <row r="12" spans="1:17" ht="29" x14ac:dyDescent="0.35">
      <c r="A12" s="221" t="str" cm="1">
        <f t="array" ref="A12:J149">_xlfn.LET(_xlpm.cap,$A$5,_xlpm.kind,$C$5,_xlpm.lvl,$E$5,_xlpm.publisher,$G$5,_xlpm.costFilter,$I$5,_xlpm.q,LOWER(TRIM($A$8)),_xlpm.ids,TableauOutils[ID Outil],_xlpm.toolNames,TableauOutils[Nom de l’outil],_xlpm.publishers,TableauOutils[Éditeur],_xlpm.kinds,TableauOutils[Type d’outil],_xlpm.caps,TableauOutils[Capacités principales],_xlpm.levels,TableauOutils[Niveau requis],_xlpm.costs,TableauOutils[Coût],_xlpm.offers,TableauOutils[Offre / abonnement requis],_xlpm.availability,TableauOutils[Disponibilité],_xlpm.status,TableauOutils[Statut],_xlpm.allRows,--(_xlpm.ids&lt;&gt;""),_xlpm.keep,IF(_xlpm.cap="Toutes les capacités",_xlpm.allRows,--ISNUMBER(SEARCH(_xlpm.cap,_xlpm.caps)))*IF(_xlpm.kind="Tous les types",_xlpm.allRows,--(_xlpm.kinds=_xlpm.kind))*IF(_xlpm.lvl="Tous",_xlpm.allRows,--(_xlpm.levels=_xlpm.lvl))*IF(_xlpm.publisher="Tous les éditeurs",_xlpm.allRows,--(_xlpm.publishers=_xlpm.publisher))*IF(_xlpm.costFilter="Tous",_xlpm.allRows,--(_xlpm.costs=_xlpm.costFilter))*IF(_xlpm.q="",_xlpm.allRows,--ISNUMBER(SEARCH(_xlpm.q,LOWER(_xlpm.toolNames&amp;" "&amp;_xlpm.publishers&amp;" "&amp;_xlpm.caps)))),_xlpm.capsOut,IF(LEN(_xlpm.caps)=0,"Inconnu",IF(LEN(_xlpm.caps)&lt;=240,_xlpm.caps,IF(_xlpm.cap&lt;&gt;"Toutes les capacités",_xlpm.cap&amp;" ; autres capacités",IFERROR(_xlfn.TEXTBEFORE(_xlpm.caps," ; ",3)&amp;" ; …",LEFT(_xlpm.caps,237)&amp;"…")))),_xlpm.levelsOut,IF(ISBLANK(_xlpm.levels),"Inconnu",_xlpm.levels),_xlpm.costsOut,IF(ISBLANK(_xlpm.costs),"Inconnu",_xlpm.costs),_xlpm.offersOut,IF(ISBLANK(_xlpm.offers),"Inconnu",_xlpm.offers),_xlpm.availabilityOut,IF(ISBLANK(_xlpm.availability),"Inconnu",_xlpm.availability),_xlpm.statusOut,IF(ISBLANK(_xlpm.status),"À vérifier",_xlpm.status),_xlpm.data,_xlfn.HSTACK(_xlpm.ids,_xlpm.toolNames,_xlpm.publishers,_xlpm.kinds,_xlpm.capsOut,_xlpm.levelsOut,_xlpm.costsOut,_xlpm.offersOut,_xlpm.availabilityOut,_xlpm.statusOut),IFERROR(_xlfn._xlws.FILTER(_xlpm.data,_xlpm.keep),"Aucun résultat"))</f>
        <v>OUT-001</v>
      </c>
      <c r="B12" s="221" t="str">
        <v>Copilot Chat</v>
      </c>
      <c r="C12" s="221" t="str">
        <v>Microsoft</v>
      </c>
      <c r="D12" s="221" t="str">
        <v>Chat IA</v>
      </c>
      <c r="E12" s="221" t="str">
        <v>Conversation et questions-réponses ; Réécriture et adaptation de contenu ; Synthèse et résumé ; Recherche et récupération d’information ; Analyse, comparaison et évaluation ; Idéation et planification</v>
      </c>
      <c r="F12" s="221" t="str">
        <v>Débutant</v>
      </c>
      <c r="G12" s="221" t="str">
        <v>Gratuit</v>
      </c>
      <c r="H12" s="221" t="str">
        <v>Sans licence Microsoft 365 Copilot</v>
      </c>
      <c r="I12" s="221" t="str">
        <v>Disponible</v>
      </c>
      <c r="J12" s="221" t="str">
        <v>Référencé</v>
      </c>
      <c r="M12" t="s">
        <v>1130</v>
      </c>
      <c r="N12" t="s">
        <v>1432</v>
      </c>
      <c r="P12" t="s">
        <v>1671</v>
      </c>
    </row>
    <row r="13" spans="1:17" x14ac:dyDescent="0.35">
      <c r="A13" s="221" t="str">
        <v>OUT-002</v>
      </c>
      <c r="B13" s="221" t="str">
        <v>Microsoft 365 Copilot</v>
      </c>
      <c r="C13" s="221" t="str">
        <v>Microsoft</v>
      </c>
      <c r="D13" s="221" t="str">
        <v>Assistance au travail quotidien</v>
      </c>
      <c r="E13" s="221" t="str">
        <v>Conversation et questions-réponses ; Génération et rédaction de texte ; Réécriture et adaptation de contenu ; …</v>
      </c>
      <c r="F13" s="221" t="str">
        <v>Inconnu</v>
      </c>
      <c r="G13" s="221" t="str">
        <v>Inconnu</v>
      </c>
      <c r="H13" s="221" t="str">
        <v>Licence Microsoft 365 Copilot</v>
      </c>
      <c r="I13" s="221" t="str">
        <v>Limité / dépend de l’offre</v>
      </c>
      <c r="J13" s="221" t="str">
        <v>Référencé</v>
      </c>
      <c r="M13" t="s">
        <v>1512</v>
      </c>
      <c r="N13" t="s">
        <v>1130</v>
      </c>
      <c r="P13" t="s">
        <v>84</v>
      </c>
    </row>
    <row r="14" spans="1:17" x14ac:dyDescent="0.35">
      <c r="A14" s="221" t="str">
        <v>OUT-003</v>
      </c>
      <c r="B14" s="221" t="str">
        <v>Copilot Studio</v>
      </c>
      <c r="C14" s="221" t="str">
        <v>Microsoft</v>
      </c>
      <c r="D14" s="221" t="str">
        <v>Studio low-code</v>
      </c>
      <c r="E14" s="221" t="str">
        <v>Création et orchestration d’agents ; Automatisation et exécution d’actions</v>
      </c>
      <c r="F14" s="221" t="str">
        <v>Inconnu</v>
      </c>
      <c r="G14" s="221" t="str">
        <v>Inconnu</v>
      </c>
      <c r="H14" s="221" t="str">
        <v>Inconnu</v>
      </c>
      <c r="I14" s="221" t="str">
        <v>À vérifier</v>
      </c>
      <c r="J14" s="221" t="str">
        <v>Référencé</v>
      </c>
      <c r="M14" t="s">
        <v>1386</v>
      </c>
      <c r="N14" t="s">
        <v>97</v>
      </c>
      <c r="P14" t="s">
        <v>1676</v>
      </c>
    </row>
    <row r="15" spans="1:17" x14ac:dyDescent="0.35">
      <c r="A15" s="221" t="str">
        <v>OUT-004</v>
      </c>
      <c r="B15" s="221" t="str">
        <v>Copilot Agent Builder</v>
      </c>
      <c r="C15" s="221" t="str">
        <v>Microsoft</v>
      </c>
      <c r="D15" s="221" t="str">
        <v>Agent Builder no-code</v>
      </c>
      <c r="E15" s="221" t="str">
        <v>Création et orchestration d’agents</v>
      </c>
      <c r="F15" s="221" t="str">
        <v>Inconnu</v>
      </c>
      <c r="G15" s="221" t="str">
        <v>Inconnu</v>
      </c>
      <c r="H15" s="221" t="str">
        <v>Inconnu</v>
      </c>
      <c r="I15" s="221" t="str">
        <v>À vérifier</v>
      </c>
      <c r="J15" s="221" t="str">
        <v>Référencé</v>
      </c>
      <c r="M15" t="s">
        <v>1441</v>
      </c>
      <c r="N15" t="s">
        <v>1418</v>
      </c>
      <c r="P15" t="s">
        <v>86</v>
      </c>
    </row>
    <row r="16" spans="1:17" x14ac:dyDescent="0.35">
      <c r="A16" s="221" t="str">
        <v>OUT-005</v>
      </c>
      <c r="B16" s="221" t="str">
        <v>Microsoft Foundry / Azure AI</v>
      </c>
      <c r="C16" s="221" t="str">
        <v>Microsoft</v>
      </c>
      <c r="D16" s="221" t="str">
        <v>Plateforme de développement d’agents</v>
      </c>
      <c r="E16" s="221" t="str">
        <v>Création et orchestration d’agents</v>
      </c>
      <c r="F16" s="221" t="str">
        <v>Inconnu</v>
      </c>
      <c r="G16" s="221" t="str">
        <v>Inconnu</v>
      </c>
      <c r="H16" s="221" t="str">
        <v>Inconnu</v>
      </c>
      <c r="I16" s="221" t="str">
        <v>À vérifier</v>
      </c>
      <c r="J16" s="221" t="str">
        <v>Référencé</v>
      </c>
      <c r="M16" t="s">
        <v>1423</v>
      </c>
      <c r="N16" t="s">
        <v>1444</v>
      </c>
      <c r="P16" t="s">
        <v>1597</v>
      </c>
    </row>
    <row r="17" spans="1:16" x14ac:dyDescent="0.35">
      <c r="A17" s="221" t="str">
        <v>OUT-006</v>
      </c>
      <c r="B17" s="221" t="str">
        <v>Azure OpenAI Service</v>
      </c>
      <c r="C17" s="221" t="str">
        <v>Microsoft</v>
      </c>
      <c r="D17" s="221" t="str">
        <v>Outil</v>
      </c>
      <c r="E17" s="221" t="str">
        <v>Inconnu</v>
      </c>
      <c r="F17" s="221" t="str">
        <v>Inconnu</v>
      </c>
      <c r="G17" s="221" t="str">
        <v>Inconnu</v>
      </c>
      <c r="H17" s="221" t="str">
        <v>Inconnu</v>
      </c>
      <c r="I17" s="221" t="str">
        <v>À vérifier</v>
      </c>
      <c r="J17" s="221" t="str">
        <v>Référencé</v>
      </c>
      <c r="M17" t="s">
        <v>1414</v>
      </c>
      <c r="N17" t="s">
        <v>1408</v>
      </c>
      <c r="P17" t="s">
        <v>1540</v>
      </c>
    </row>
    <row r="18" spans="1:16" x14ac:dyDescent="0.35">
      <c r="A18" s="221" t="str">
        <v>OUT-007</v>
      </c>
      <c r="B18" s="221" t="str">
        <v>Power Automate</v>
      </c>
      <c r="C18" s="221" t="str">
        <v>Microsoft</v>
      </c>
      <c r="D18" s="221" t="str">
        <v>Automatisation des flux</v>
      </c>
      <c r="E18" s="221" t="str">
        <v>Automatisation et exécution d’actions</v>
      </c>
      <c r="F18" s="221" t="str">
        <v>Inconnu</v>
      </c>
      <c r="G18" s="221" t="str">
        <v>Inconnu</v>
      </c>
      <c r="H18" s="221" t="str">
        <v>Inconnu</v>
      </c>
      <c r="I18" s="221" t="str">
        <v>À vérifier</v>
      </c>
      <c r="J18" s="221" t="str">
        <v>Référencé</v>
      </c>
      <c r="N18" t="s">
        <v>1474</v>
      </c>
      <c r="P18" t="s">
        <v>1580</v>
      </c>
    </row>
    <row r="19" spans="1:16" x14ac:dyDescent="0.35">
      <c r="A19" s="221" t="str">
        <v>OUT-008</v>
      </c>
      <c r="B19" s="221" t="str">
        <v>Power Apps</v>
      </c>
      <c r="C19" s="221" t="str">
        <v>Microsoft</v>
      </c>
      <c r="D19" s="221" t="str">
        <v>Studio low-code</v>
      </c>
      <c r="E19" s="221" t="str">
        <v>Création et orchestration d’agents</v>
      </c>
      <c r="F19" s="221" t="str">
        <v>Inconnu</v>
      </c>
      <c r="G19" s="221" t="str">
        <v>Inconnu</v>
      </c>
      <c r="H19" s="221" t="str">
        <v>Inconnu</v>
      </c>
      <c r="I19" s="221" t="str">
        <v>À vérifier</v>
      </c>
      <c r="J19" s="221" t="str">
        <v>Référencé</v>
      </c>
      <c r="N19" t="s">
        <v>1511</v>
      </c>
      <c r="P19" t="s">
        <v>1546</v>
      </c>
    </row>
    <row r="20" spans="1:16" x14ac:dyDescent="0.35">
      <c r="A20" s="221" t="str">
        <v>OUT-009</v>
      </c>
      <c r="B20" s="221" t="str">
        <v>Dataverse</v>
      </c>
      <c r="C20" s="221" t="str">
        <v>Microsoft</v>
      </c>
      <c r="D20" s="221" t="str">
        <v>Base de données / Stockage</v>
      </c>
      <c r="E20" s="221" t="str">
        <v>Inconnu</v>
      </c>
      <c r="F20" s="221" t="str">
        <v>Inconnu</v>
      </c>
      <c r="G20" s="221" t="str">
        <v>Inconnu</v>
      </c>
      <c r="H20" s="221" t="str">
        <v>Inconnu</v>
      </c>
      <c r="I20" s="221" t="str">
        <v>À vérifier</v>
      </c>
      <c r="J20" s="221" t="str">
        <v>Référencé</v>
      </c>
      <c r="P20" t="s">
        <v>1567</v>
      </c>
    </row>
    <row r="21" spans="1:16" x14ac:dyDescent="0.35">
      <c r="A21" s="221" t="str">
        <v>OUT-010</v>
      </c>
      <c r="B21" s="221" t="str">
        <v>SharePoint</v>
      </c>
      <c r="C21" s="221" t="str">
        <v>Microsoft</v>
      </c>
      <c r="D21" s="221" t="str">
        <v>Gestion documentaire / GED</v>
      </c>
      <c r="E21" s="221" t="str">
        <v>Recherche et récupération d’information ; Extraction et structuration d’information ; Création de documents et présentations</v>
      </c>
      <c r="F21" s="221" t="str">
        <v>Inconnu</v>
      </c>
      <c r="G21" s="221" t="str">
        <v>Inconnu</v>
      </c>
      <c r="H21" s="221" t="str">
        <v>Inconnu</v>
      </c>
      <c r="I21" s="221" t="str">
        <v>À vérifier</v>
      </c>
      <c r="J21" s="221" t="str">
        <v>Référencé</v>
      </c>
      <c r="P21" t="s">
        <v>1703</v>
      </c>
    </row>
    <row r="22" spans="1:16" x14ac:dyDescent="0.35">
      <c r="A22" s="221" t="str">
        <v>OUT-011</v>
      </c>
      <c r="B22" s="221" t="str">
        <v>Microsoft Teams</v>
      </c>
      <c r="C22" s="221" t="str">
        <v>Microsoft</v>
      </c>
      <c r="D22" s="221" t="str">
        <v>Collaboration / Communication</v>
      </c>
      <c r="E22" s="221" t="str">
        <v>Conversation et questions-réponses ; Synthèse et résumé ; Recherche et récupération d’information ; Extraction et structuration d’information ; Idéation et planification</v>
      </c>
      <c r="F22" s="221" t="str">
        <v>Inconnu</v>
      </c>
      <c r="G22" s="221" t="str">
        <v>Inconnu</v>
      </c>
      <c r="H22" s="221" t="str">
        <v>Inconnu</v>
      </c>
      <c r="I22" s="221" t="str">
        <v>À vérifier</v>
      </c>
      <c r="J22" s="221" t="str">
        <v>Référencé</v>
      </c>
      <c r="P22" t="s">
        <v>1698</v>
      </c>
    </row>
    <row r="23" spans="1:16" x14ac:dyDescent="0.35">
      <c r="A23" s="221" t="str">
        <v>OUT-012</v>
      </c>
      <c r="B23" s="221" t="str">
        <v>GitHub Copilot</v>
      </c>
      <c r="C23" s="221" t="str">
        <v>Microsoft</v>
      </c>
      <c r="D23" s="221" t="str">
        <v>Code / Développement</v>
      </c>
      <c r="E23" s="221" t="str">
        <v>Assistance au développement logiciel</v>
      </c>
      <c r="F23" s="221" t="str">
        <v>Inconnu</v>
      </c>
      <c r="G23" s="221" t="str">
        <v>Inconnu</v>
      </c>
      <c r="H23" s="221" t="str">
        <v>Inconnu</v>
      </c>
      <c r="I23" s="221" t="str">
        <v>À vérifier</v>
      </c>
      <c r="J23" s="221" t="str">
        <v>Référencé</v>
      </c>
    </row>
    <row r="24" spans="1:16" x14ac:dyDescent="0.35">
      <c r="A24" s="221" t="str">
        <v>OUT-013</v>
      </c>
      <c r="B24" s="221" t="str">
        <v>Azure AI Search</v>
      </c>
      <c r="C24" s="221" t="str">
        <v>Microsoft</v>
      </c>
      <c r="D24" s="221" t="str">
        <v>Recherche / RAG</v>
      </c>
      <c r="E24" s="221" t="str">
        <v>Recherche et récupération d’information</v>
      </c>
      <c r="F24" s="221" t="str">
        <v>Inconnu</v>
      </c>
      <c r="G24" s="221" t="str">
        <v>Inconnu</v>
      </c>
      <c r="H24" s="221" t="str">
        <v>Inconnu</v>
      </c>
      <c r="I24" s="221" t="str">
        <v>À vérifier</v>
      </c>
      <c r="J24" s="221" t="str">
        <v>Référencé</v>
      </c>
    </row>
    <row r="25" spans="1:16" x14ac:dyDescent="0.35">
      <c r="A25" s="221" t="str">
        <v>OUT-014</v>
      </c>
      <c r="B25" s="221" t="str">
        <v>Power BI</v>
      </c>
      <c r="C25" s="221" t="str">
        <v>Microsoft</v>
      </c>
      <c r="D25" s="221" t="str">
        <v>Analyse de données / BI</v>
      </c>
      <c r="E25" s="221" t="str">
        <v>Analyse et visualisation de données</v>
      </c>
      <c r="F25" s="221" t="str">
        <v>Inconnu</v>
      </c>
      <c r="G25" s="221" t="str">
        <v>Inconnu</v>
      </c>
      <c r="H25" s="221" t="str">
        <v>Inconnu</v>
      </c>
      <c r="I25" s="221" t="str">
        <v>À vérifier</v>
      </c>
      <c r="J25" s="221" t="str">
        <v>Référencé</v>
      </c>
    </row>
    <row r="26" spans="1:16" x14ac:dyDescent="0.35">
      <c r="A26" s="221" t="str">
        <v>OUT-015</v>
      </c>
      <c r="B26" s="221" t="str">
        <v>Microsoft Excel</v>
      </c>
      <c r="C26" s="221" t="str">
        <v>Microsoft</v>
      </c>
      <c r="D26" s="221" t="str">
        <v>Analyse de données / BI</v>
      </c>
      <c r="E26" s="221" t="str">
        <v>Analyse et visualisation de données ; Création de documents et présentations ; Automatisation et exécution d’actions</v>
      </c>
      <c r="F26" s="221" t="str">
        <v>Inconnu</v>
      </c>
      <c r="G26" s="221" t="str">
        <v>Inconnu</v>
      </c>
      <c r="H26" s="221" t="str">
        <v>Inconnu</v>
      </c>
      <c r="I26" s="221" t="str">
        <v>À vérifier</v>
      </c>
      <c r="J26" s="221" t="str">
        <v>Référencé</v>
      </c>
    </row>
    <row r="27" spans="1:16" x14ac:dyDescent="0.35">
      <c r="A27" s="221" t="str">
        <v>OUT-016</v>
      </c>
      <c r="B27" s="221" t="str">
        <v>Microsoft Designer</v>
      </c>
      <c r="C27" s="221" t="str">
        <v>Microsoft</v>
      </c>
      <c r="D27" s="221" t="str">
        <v>Génération d’images</v>
      </c>
      <c r="E27" s="221" t="str">
        <v>Génération d’images</v>
      </c>
      <c r="F27" s="221" t="str">
        <v>Inconnu</v>
      </c>
      <c r="G27" s="221" t="str">
        <v>Inconnu</v>
      </c>
      <c r="H27" s="221" t="str">
        <v>Inconnu</v>
      </c>
      <c r="I27" s="221" t="str">
        <v>À vérifier</v>
      </c>
      <c r="J27" s="221" t="str">
        <v>Référencé</v>
      </c>
    </row>
    <row r="28" spans="1:16" x14ac:dyDescent="0.35">
      <c r="A28" s="221" t="str">
        <v>OUT-017</v>
      </c>
      <c r="B28" s="221" t="str">
        <v>Microsoft PowerPoint</v>
      </c>
      <c r="C28" s="221" t="str">
        <v>Microsoft</v>
      </c>
      <c r="D28" s="221" t="str">
        <v>Création de documents et présentations</v>
      </c>
      <c r="E28" s="221" t="str">
        <v>Génération et rédaction de texte ; Réécriture et adaptation de contenu ; Synthèse et résumé ; Analyse, comparaison et évaluation ; Création de documents et présentations ; Génération d’images ; Idéation et planification</v>
      </c>
      <c r="F28" s="221" t="str">
        <v>Inconnu</v>
      </c>
      <c r="G28" s="221" t="str">
        <v>Inconnu</v>
      </c>
      <c r="H28" s="221" t="str">
        <v>Inconnu</v>
      </c>
      <c r="I28" s="221" t="str">
        <v>À vérifier</v>
      </c>
      <c r="J28" s="221" t="str">
        <v>Référencé</v>
      </c>
    </row>
    <row r="29" spans="1:16" x14ac:dyDescent="0.35">
      <c r="A29" s="221" t="str">
        <v>OUT-018</v>
      </c>
      <c r="B29" s="221" t="str">
        <v>Microsoft Word</v>
      </c>
      <c r="C29" s="221" t="str">
        <v>Microsoft</v>
      </c>
      <c r="D29" s="221" t="str">
        <v>Création de documents et présentations</v>
      </c>
      <c r="E29" s="221" t="str">
        <v>Génération et rédaction de texte ; Réécriture et adaptation de contenu ; Synthèse et résumé ; Analyse, comparaison et évaluation ; Création de documents et présentations</v>
      </c>
      <c r="F29" s="221" t="str">
        <v>Inconnu</v>
      </c>
      <c r="G29" s="221" t="str">
        <v>Inconnu</v>
      </c>
      <c r="H29" s="221" t="str">
        <v>Inconnu</v>
      </c>
      <c r="I29" s="221" t="str">
        <v>À vérifier</v>
      </c>
      <c r="J29" s="221" t="str">
        <v>Référencé</v>
      </c>
    </row>
    <row r="30" spans="1:16" x14ac:dyDescent="0.35">
      <c r="A30" s="221" t="str">
        <v>OUT-019</v>
      </c>
      <c r="B30" s="221" t="str">
        <v>Microsoft Search</v>
      </c>
      <c r="C30" s="221" t="str">
        <v>Microsoft</v>
      </c>
      <c r="D30" s="221" t="str">
        <v>Recherche / RAG</v>
      </c>
      <c r="E30" s="221" t="str">
        <v>Recherche et récupération d’information</v>
      </c>
      <c r="F30" s="221" t="str">
        <v>Inconnu</v>
      </c>
      <c r="G30" s="221" t="str">
        <v>Inconnu</v>
      </c>
      <c r="H30" s="221" t="str">
        <v>Inconnu</v>
      </c>
      <c r="I30" s="221" t="str">
        <v>À vérifier</v>
      </c>
      <c r="J30" s="221" t="str">
        <v>Référencé</v>
      </c>
    </row>
    <row r="31" spans="1:16" x14ac:dyDescent="0.35">
      <c r="A31" s="221" t="str">
        <v>OUT-020</v>
      </c>
      <c r="B31" s="221" t="str">
        <v>Viva Learning</v>
      </c>
      <c r="C31" s="221" t="str">
        <v>Microsoft</v>
      </c>
      <c r="D31" s="221" t="str">
        <v>Assistance au travail quotidien</v>
      </c>
      <c r="E31" s="221" t="str">
        <v>Recherche et récupération d’information ; Idéation et planification</v>
      </c>
      <c r="F31" s="221" t="str">
        <v>Inconnu</v>
      </c>
      <c r="G31" s="221" t="str">
        <v>Inconnu</v>
      </c>
      <c r="H31" s="221" t="str">
        <v>Inconnu</v>
      </c>
      <c r="I31" s="221" t="str">
        <v>À vérifier</v>
      </c>
      <c r="J31" s="221" t="str">
        <v>Référencé</v>
      </c>
    </row>
    <row r="32" spans="1:16" x14ac:dyDescent="0.35">
      <c r="A32" s="221" t="str">
        <v>OUT-021</v>
      </c>
      <c r="B32" s="221" t="str">
        <v>Microsoft Planner</v>
      </c>
      <c r="C32" s="221" t="str">
        <v>Microsoft</v>
      </c>
      <c r="D32" s="221" t="str">
        <v>Collaboration / Communication</v>
      </c>
      <c r="E32" s="221" t="str">
        <v>Idéation et planification</v>
      </c>
      <c r="F32" s="221" t="str">
        <v>Inconnu</v>
      </c>
      <c r="G32" s="221" t="str">
        <v>Inconnu</v>
      </c>
      <c r="H32" s="221" t="str">
        <v>Inconnu</v>
      </c>
      <c r="I32" s="221" t="str">
        <v>À vérifier</v>
      </c>
      <c r="J32" s="221" t="str">
        <v>Référencé</v>
      </c>
    </row>
    <row r="33" spans="1:10" x14ac:dyDescent="0.35">
      <c r="A33" s="221" t="str">
        <v>OUT-022</v>
      </c>
      <c r="B33" s="221" t="str">
        <v>Microsoft Forms</v>
      </c>
      <c r="C33" s="221" t="str">
        <v>Microsoft</v>
      </c>
      <c r="D33" s="221" t="str">
        <v>Création de documents et présentations</v>
      </c>
      <c r="E33" s="221" t="str">
        <v>Extraction et structuration d’information ; Analyse, comparaison et évaluation ; Création de documents et présentations</v>
      </c>
      <c r="F33" s="221" t="str">
        <v>Inconnu</v>
      </c>
      <c r="G33" s="221" t="str">
        <v>Inconnu</v>
      </c>
      <c r="H33" s="221" t="str">
        <v>Inconnu</v>
      </c>
      <c r="I33" s="221" t="str">
        <v>À vérifier</v>
      </c>
      <c r="J33" s="221" t="str">
        <v>Référencé</v>
      </c>
    </row>
    <row r="34" spans="1:10" x14ac:dyDescent="0.35">
      <c r="A34" s="221" t="str">
        <v>OUT-023</v>
      </c>
      <c r="B34" s="221" t="str">
        <v>Microsoft Graph</v>
      </c>
      <c r="C34" s="221" t="str">
        <v>Microsoft</v>
      </c>
      <c r="D34" s="221" t="str">
        <v>Outil</v>
      </c>
      <c r="E34" s="221" t="str">
        <v>Inconnu</v>
      </c>
      <c r="F34" s="221" t="str">
        <v>Inconnu</v>
      </c>
      <c r="G34" s="221" t="str">
        <v>Inconnu</v>
      </c>
      <c r="H34" s="221" t="str">
        <v>Inconnu</v>
      </c>
      <c r="I34" s="221" t="str">
        <v>À vérifier</v>
      </c>
      <c r="J34" s="221" t="str">
        <v>Référencé</v>
      </c>
    </row>
    <row r="35" spans="1:10" x14ac:dyDescent="0.35">
      <c r="A35" s="221" t="str">
        <v>OUT-024</v>
      </c>
      <c r="B35" s="221" t="str">
        <v>Dynamics 365 Sales</v>
      </c>
      <c r="C35" s="221" t="str">
        <v>Microsoft</v>
      </c>
      <c r="D35" s="221" t="str">
        <v>Assistance au travail quotidien</v>
      </c>
      <c r="E35" s="221" t="str">
        <v>Synthèse et résumé ; Analyse, comparaison et évaluation</v>
      </c>
      <c r="F35" s="221" t="str">
        <v>Inconnu</v>
      </c>
      <c r="G35" s="221" t="str">
        <v>Inconnu</v>
      </c>
      <c r="H35" s="221" t="str">
        <v>Inconnu</v>
      </c>
      <c r="I35" s="221" t="str">
        <v>À vérifier</v>
      </c>
      <c r="J35" s="221" t="str">
        <v>Référencé</v>
      </c>
    </row>
    <row r="36" spans="1:10" x14ac:dyDescent="0.35">
      <c r="A36" s="221" t="str">
        <v>OUT-025</v>
      </c>
      <c r="B36" s="221" t="str">
        <v>Dynamics 365 Customer Service</v>
      </c>
      <c r="C36" s="221" t="str">
        <v>Microsoft</v>
      </c>
      <c r="D36" s="221" t="str">
        <v>Assistance au travail quotidien</v>
      </c>
      <c r="E36" s="221" t="str">
        <v>Synthèse et résumé ; Recherche et récupération d’information ; Analyse, comparaison et évaluation</v>
      </c>
      <c r="F36" s="221" t="str">
        <v>Inconnu</v>
      </c>
      <c r="G36" s="221" t="str">
        <v>Inconnu</v>
      </c>
      <c r="H36" s="221" t="str">
        <v>Inconnu</v>
      </c>
      <c r="I36" s="221" t="str">
        <v>À vérifier</v>
      </c>
      <c r="J36" s="221" t="str">
        <v>Référencé</v>
      </c>
    </row>
    <row r="37" spans="1:10" x14ac:dyDescent="0.35">
      <c r="A37" s="221" t="str">
        <v>OUT-026</v>
      </c>
      <c r="B37" s="221" t="str">
        <v>Dynamics 365 Finance</v>
      </c>
      <c r="C37" s="221" t="str">
        <v>Microsoft</v>
      </c>
      <c r="D37" s="221" t="str">
        <v>Assistance au travail quotidien</v>
      </c>
      <c r="E37" s="221" t="str">
        <v>Analyse, comparaison et évaluation ; Analyse et visualisation de données ; Création de documents et présentations</v>
      </c>
      <c r="F37" s="221" t="str">
        <v>Inconnu</v>
      </c>
      <c r="G37" s="221" t="str">
        <v>Inconnu</v>
      </c>
      <c r="H37" s="221" t="str">
        <v>Inconnu</v>
      </c>
      <c r="I37" s="221" t="str">
        <v>À vérifier</v>
      </c>
      <c r="J37" s="221" t="str">
        <v>Référencé</v>
      </c>
    </row>
    <row r="38" spans="1:10" x14ac:dyDescent="0.35">
      <c r="A38" s="221" t="str">
        <v>OUT-027</v>
      </c>
      <c r="B38" s="221" t="str">
        <v>Microsoft Viva</v>
      </c>
      <c r="C38" s="221" t="str">
        <v>Microsoft</v>
      </c>
      <c r="D38" s="221" t="str">
        <v>Collaboration / Communication</v>
      </c>
      <c r="E38" s="221" t="str">
        <v>Inconnu</v>
      </c>
      <c r="F38" s="221" t="str">
        <v>Inconnu</v>
      </c>
      <c r="G38" s="221" t="str">
        <v>Inconnu</v>
      </c>
      <c r="H38" s="221" t="str">
        <v>Inconnu</v>
      </c>
      <c r="I38" s="221" t="str">
        <v>À vérifier</v>
      </c>
      <c r="J38" s="221" t="str">
        <v>Référencé</v>
      </c>
    </row>
    <row r="39" spans="1:10" x14ac:dyDescent="0.35">
      <c r="A39" s="221" t="str">
        <v>OUT-028</v>
      </c>
      <c r="B39" s="221" t="str">
        <v>Viva Insights</v>
      </c>
      <c r="C39" s="221" t="str">
        <v>Microsoft</v>
      </c>
      <c r="D39" s="221" t="str">
        <v>Analyse de données / BI</v>
      </c>
      <c r="E39" s="221" t="str">
        <v>Analyse et visualisation de données</v>
      </c>
      <c r="F39" s="221" t="str">
        <v>Inconnu</v>
      </c>
      <c r="G39" s="221" t="str">
        <v>Inconnu</v>
      </c>
      <c r="H39" s="221" t="str">
        <v>Inconnu</v>
      </c>
      <c r="I39" s="221" t="str">
        <v>À vérifier</v>
      </c>
      <c r="J39" s="221" t="str">
        <v>Référencé</v>
      </c>
    </row>
    <row r="40" spans="1:10" x14ac:dyDescent="0.35">
      <c r="A40" s="221" t="str">
        <v>OUT-029</v>
      </c>
      <c r="B40" s="221" t="str">
        <v>SharePoint Admin Center</v>
      </c>
      <c r="C40" s="221" t="str">
        <v>Microsoft</v>
      </c>
      <c r="D40" s="221" t="str">
        <v>Sécurité / Gouvernance IA</v>
      </c>
      <c r="E40" s="221" t="str">
        <v>Inconnu</v>
      </c>
      <c r="F40" s="221" t="str">
        <v>Inconnu</v>
      </c>
      <c r="G40" s="221" t="str">
        <v>Inconnu</v>
      </c>
      <c r="H40" s="221" t="str">
        <v>Inconnu</v>
      </c>
      <c r="I40" s="221" t="str">
        <v>À vérifier</v>
      </c>
      <c r="J40" s="221" t="str">
        <v>Référencé</v>
      </c>
    </row>
    <row r="41" spans="1:10" x14ac:dyDescent="0.35">
      <c r="A41" s="221" t="str">
        <v>OUT-030</v>
      </c>
      <c r="B41" s="221" t="str">
        <v>Microsoft Purview</v>
      </c>
      <c r="C41" s="221" t="str">
        <v>Microsoft</v>
      </c>
      <c r="D41" s="221" t="str">
        <v>Sécurité / Gouvernance IA</v>
      </c>
      <c r="E41" s="221" t="str">
        <v>Inconnu</v>
      </c>
      <c r="F41" s="221" t="str">
        <v>Inconnu</v>
      </c>
      <c r="G41" s="221" t="str">
        <v>Inconnu</v>
      </c>
      <c r="H41" s="221" t="str">
        <v>Inconnu</v>
      </c>
      <c r="I41" s="221" t="str">
        <v>À vérifier</v>
      </c>
      <c r="J41" s="221" t="str">
        <v>Référencé</v>
      </c>
    </row>
    <row r="42" spans="1:10" x14ac:dyDescent="0.35">
      <c r="A42" s="221" t="str">
        <v>OUT-031</v>
      </c>
      <c r="B42" s="221" t="str">
        <v>Microsoft Entra</v>
      </c>
      <c r="C42" s="221" t="str">
        <v>Microsoft</v>
      </c>
      <c r="D42" s="221" t="str">
        <v>Sécurité / Gouvernance IA</v>
      </c>
      <c r="E42" s="221" t="str">
        <v>Inconnu</v>
      </c>
      <c r="F42" s="221" t="str">
        <v>Inconnu</v>
      </c>
      <c r="G42" s="221" t="str">
        <v>Inconnu</v>
      </c>
      <c r="H42" s="221" t="str">
        <v>Inconnu</v>
      </c>
      <c r="I42" s="221" t="str">
        <v>À vérifier</v>
      </c>
      <c r="J42" s="221" t="str">
        <v>Référencé</v>
      </c>
    </row>
    <row r="43" spans="1:10" x14ac:dyDescent="0.35">
      <c r="A43" s="221" t="str">
        <v>OUT-032</v>
      </c>
      <c r="B43" s="221" t="str">
        <v>Microsoft Loop</v>
      </c>
      <c r="C43" s="221" t="str">
        <v>Microsoft</v>
      </c>
      <c r="D43" s="221" t="str">
        <v>Collaboration / Communication</v>
      </c>
      <c r="E43" s="221" t="str">
        <v>Génération et rédaction de texte ; Réécriture et adaptation de contenu ; Synthèse et résumé ; Extraction et structuration d’information ; Création de documents et présentations</v>
      </c>
      <c r="F43" s="221" t="str">
        <v>Inconnu</v>
      </c>
      <c r="G43" s="221" t="str">
        <v>Inconnu</v>
      </c>
      <c r="H43" s="221" t="str">
        <v>Inconnu</v>
      </c>
      <c r="I43" s="221" t="str">
        <v>À vérifier</v>
      </c>
      <c r="J43" s="221" t="str">
        <v>Référencé</v>
      </c>
    </row>
    <row r="44" spans="1:10" x14ac:dyDescent="0.35">
      <c r="A44" s="221" t="str">
        <v>OUT-033</v>
      </c>
      <c r="B44" s="221" t="str">
        <v>Microsoft Places</v>
      </c>
      <c r="C44" s="221" t="str">
        <v>Microsoft</v>
      </c>
      <c r="D44" s="221" t="str">
        <v>Collaboration / Communication</v>
      </c>
      <c r="E44" s="221" t="str">
        <v>Inconnu</v>
      </c>
      <c r="F44" s="221" t="str">
        <v>Inconnu</v>
      </c>
      <c r="G44" s="221" t="str">
        <v>Inconnu</v>
      </c>
      <c r="H44" s="221" t="str">
        <v>Inconnu</v>
      </c>
      <c r="I44" s="221" t="str">
        <v>À vérifier</v>
      </c>
      <c r="J44" s="221" t="str">
        <v>Référencé</v>
      </c>
    </row>
    <row r="45" spans="1:10" x14ac:dyDescent="0.35">
      <c r="A45" s="221" t="str">
        <v>OUT-034</v>
      </c>
      <c r="B45" s="221" t="str">
        <v>Semantic Kernel</v>
      </c>
      <c r="C45" s="221" t="str">
        <v>Microsoft</v>
      </c>
      <c r="D45" s="221" t="str">
        <v>Plateforme de développement d’agents</v>
      </c>
      <c r="E45" s="221" t="str">
        <v>Création et orchestration d’agents</v>
      </c>
      <c r="F45" s="221" t="str">
        <v>Inconnu</v>
      </c>
      <c r="G45" s="221" t="str">
        <v>Inconnu</v>
      </c>
      <c r="H45" s="221" t="str">
        <v>Inconnu</v>
      </c>
      <c r="I45" s="221" t="str">
        <v>À vérifier</v>
      </c>
      <c r="J45" s="221" t="str">
        <v>Référencé</v>
      </c>
    </row>
    <row r="46" spans="1:10" x14ac:dyDescent="0.35">
      <c r="A46" s="221" t="str">
        <v>OUT-035</v>
      </c>
      <c r="B46" s="221" t="str">
        <v>Microsoft Copilot SDK</v>
      </c>
      <c r="C46" s="221" t="str">
        <v>Microsoft</v>
      </c>
      <c r="D46" s="221" t="str">
        <v>Plateforme de développement d’agents</v>
      </c>
      <c r="E46" s="221" t="str">
        <v>Création et orchestration d’agents</v>
      </c>
      <c r="F46" s="221" t="str">
        <v>Inconnu</v>
      </c>
      <c r="G46" s="221" t="str">
        <v>Inconnu</v>
      </c>
      <c r="H46" s="221" t="str">
        <v>Inconnu</v>
      </c>
      <c r="I46" s="221" t="str">
        <v>À vérifier</v>
      </c>
      <c r="J46" s="221" t="str">
        <v>Référencé</v>
      </c>
    </row>
    <row r="47" spans="1:10" x14ac:dyDescent="0.35">
      <c r="A47" s="221" t="str">
        <v>OUT-036</v>
      </c>
      <c r="B47" s="221" t="str">
        <v>Claude</v>
      </c>
      <c r="C47" s="221" t="str">
        <v>Anthropic</v>
      </c>
      <c r="D47" s="221" t="str">
        <v>Chat IA</v>
      </c>
      <c r="E47" s="221" t="str">
        <v>Conversation et questions-réponses ; Analyse, comparaison et évaluation</v>
      </c>
      <c r="F47" s="221" t="str">
        <v>Inconnu</v>
      </c>
      <c r="G47" s="221" t="str">
        <v>Inconnu</v>
      </c>
      <c r="H47" s="221" t="str">
        <v>Inconnu</v>
      </c>
      <c r="I47" s="221" t="str">
        <v>À vérifier</v>
      </c>
      <c r="J47" s="221" t="str">
        <v>Référencé</v>
      </c>
    </row>
    <row r="48" spans="1:10" x14ac:dyDescent="0.35">
      <c r="A48" s="221" t="str">
        <v>OUT-037</v>
      </c>
      <c r="B48" s="221" t="str">
        <v>Claude Code</v>
      </c>
      <c r="C48" s="221" t="str">
        <v>Anthropic</v>
      </c>
      <c r="D48" s="221" t="str">
        <v>Code / Développement</v>
      </c>
      <c r="E48" s="221" t="str">
        <v>Assistance au développement logiciel</v>
      </c>
      <c r="F48" s="221" t="str">
        <v>Inconnu</v>
      </c>
      <c r="G48" s="221" t="str">
        <v>Inconnu</v>
      </c>
      <c r="H48" s="221" t="str">
        <v>Inconnu</v>
      </c>
      <c r="I48" s="221" t="str">
        <v>À vérifier</v>
      </c>
      <c r="J48" s="221" t="str">
        <v>Référencé</v>
      </c>
    </row>
    <row r="49" spans="1:10" x14ac:dyDescent="0.35">
      <c r="A49" s="221" t="str">
        <v>OUT-038</v>
      </c>
      <c r="B49" s="221" t="str">
        <v>Claude API</v>
      </c>
      <c r="C49" s="221" t="str">
        <v>Anthropic</v>
      </c>
      <c r="D49" s="221" t="str">
        <v>Plateforme de développement d’agents</v>
      </c>
      <c r="E49" s="221" t="str">
        <v>Création et orchestration d’agents</v>
      </c>
      <c r="F49" s="221" t="str">
        <v>Inconnu</v>
      </c>
      <c r="G49" s="221" t="str">
        <v>Inconnu</v>
      </c>
      <c r="H49" s="221" t="str">
        <v>Inconnu</v>
      </c>
      <c r="I49" s="221" t="str">
        <v>À vérifier</v>
      </c>
      <c r="J49" s="221" t="str">
        <v>Référencé</v>
      </c>
    </row>
    <row r="50" spans="1:10" x14ac:dyDescent="0.35">
      <c r="A50" s="221" t="str">
        <v>OUT-039</v>
      </c>
      <c r="B50" s="221" t="str">
        <v>Claude SDK</v>
      </c>
      <c r="C50" s="221" t="str">
        <v>Anthropic</v>
      </c>
      <c r="D50" s="221" t="str">
        <v>Plateforme de développement d’agents</v>
      </c>
      <c r="E50" s="221" t="str">
        <v>Création et orchestration d’agents</v>
      </c>
      <c r="F50" s="221" t="str">
        <v>Inconnu</v>
      </c>
      <c r="G50" s="221" t="str">
        <v>Inconnu</v>
      </c>
      <c r="H50" s="221" t="str">
        <v>Inconnu</v>
      </c>
      <c r="I50" s="221" t="str">
        <v>À vérifier</v>
      </c>
      <c r="J50" s="221" t="str">
        <v>Référencé</v>
      </c>
    </row>
    <row r="51" spans="1:10" x14ac:dyDescent="0.35">
      <c r="A51" s="221" t="str">
        <v>OUT-040</v>
      </c>
      <c r="B51" s="221" t="str">
        <v>Claude Admin Console</v>
      </c>
      <c r="C51" s="221" t="str">
        <v>Anthropic</v>
      </c>
      <c r="D51" s="221" t="str">
        <v>Sécurité / Gouvernance IA</v>
      </c>
      <c r="E51" s="221" t="str">
        <v>Inconnu</v>
      </c>
      <c r="F51" s="221" t="str">
        <v>Inconnu</v>
      </c>
      <c r="G51" s="221" t="str">
        <v>Inconnu</v>
      </c>
      <c r="H51" s="221" t="str">
        <v>Inconnu</v>
      </c>
      <c r="I51" s="221" t="str">
        <v>À vérifier</v>
      </c>
      <c r="J51" s="221" t="str">
        <v>Référencé</v>
      </c>
    </row>
    <row r="52" spans="1:10" x14ac:dyDescent="0.35">
      <c r="A52" s="221" t="str">
        <v>OUT-041</v>
      </c>
      <c r="B52" s="221" t="str">
        <v>ChatGPT</v>
      </c>
      <c r="C52" s="221" t="str">
        <v>OpenAI</v>
      </c>
      <c r="D52" s="221" t="str">
        <v>Chat IA</v>
      </c>
      <c r="E52" s="221" t="str">
        <v>Conversation et questions-réponses ; Analyse et visualisation de données ; Génération d’images</v>
      </c>
      <c r="F52" s="221" t="str">
        <v>Inconnu</v>
      </c>
      <c r="G52" s="221" t="str">
        <v>Inconnu</v>
      </c>
      <c r="H52" s="221" t="str">
        <v>Inconnu</v>
      </c>
      <c r="I52" s="221" t="str">
        <v>À vérifier</v>
      </c>
      <c r="J52" s="221" t="str">
        <v>Référencé</v>
      </c>
    </row>
    <row r="53" spans="1:10" x14ac:dyDescent="0.35">
      <c r="A53" s="221" t="str">
        <v>OUT-042</v>
      </c>
      <c r="B53" s="221" t="str">
        <v>OpenAI API</v>
      </c>
      <c r="C53" s="221" t="str">
        <v>OpenAI</v>
      </c>
      <c r="D53" s="221" t="str">
        <v>Plateforme de développement d’agents</v>
      </c>
      <c r="E53" s="221" t="str">
        <v>Création et orchestration d’agents</v>
      </c>
      <c r="F53" s="221" t="str">
        <v>Inconnu</v>
      </c>
      <c r="G53" s="221" t="str">
        <v>Inconnu</v>
      </c>
      <c r="H53" s="221" t="str">
        <v>Inconnu</v>
      </c>
      <c r="I53" s="221" t="str">
        <v>À vérifier</v>
      </c>
      <c r="J53" s="221" t="str">
        <v>Référencé</v>
      </c>
    </row>
    <row r="54" spans="1:10" x14ac:dyDescent="0.35">
      <c r="A54" s="221" t="str">
        <v>OUT-043</v>
      </c>
      <c r="B54" s="221" t="str">
        <v>OpenAI Responses API</v>
      </c>
      <c r="C54" s="221" t="str">
        <v>OpenAI</v>
      </c>
      <c r="D54" s="221" t="str">
        <v>Plateforme de développement d’agents</v>
      </c>
      <c r="E54" s="221" t="str">
        <v>Création et orchestration d’agents</v>
      </c>
      <c r="F54" s="221" t="str">
        <v>Inconnu</v>
      </c>
      <c r="G54" s="221" t="str">
        <v>Inconnu</v>
      </c>
      <c r="H54" s="221" t="str">
        <v>Inconnu</v>
      </c>
      <c r="I54" s="221" t="str">
        <v>À vérifier</v>
      </c>
      <c r="J54" s="221" t="str">
        <v>Référencé</v>
      </c>
    </row>
    <row r="55" spans="1:10" x14ac:dyDescent="0.35">
      <c r="A55" s="221" t="str">
        <v>OUT-044</v>
      </c>
      <c r="B55" s="221" t="str">
        <v>OpenAI Agents SDK</v>
      </c>
      <c r="C55" s="221" t="str">
        <v>OpenAI</v>
      </c>
      <c r="D55" s="221" t="str">
        <v>Plateforme de développement d’agents</v>
      </c>
      <c r="E55" s="221" t="str">
        <v>Création et orchestration d’agents</v>
      </c>
      <c r="F55" s="221" t="str">
        <v>Inconnu</v>
      </c>
      <c r="G55" s="221" t="str">
        <v>Inconnu</v>
      </c>
      <c r="H55" s="221" t="str">
        <v>Inconnu</v>
      </c>
      <c r="I55" s="221" t="str">
        <v>À vérifier</v>
      </c>
      <c r="J55" s="221" t="str">
        <v>Référencé</v>
      </c>
    </row>
    <row r="56" spans="1:10" x14ac:dyDescent="0.35">
      <c r="A56" s="221" t="str">
        <v>OUT-045</v>
      </c>
      <c r="B56" s="221" t="str">
        <v>OpenAI Codex</v>
      </c>
      <c r="C56" s="221" t="str">
        <v>OpenAI</v>
      </c>
      <c r="D56" s="221" t="str">
        <v>Code / Développement</v>
      </c>
      <c r="E56" s="221" t="str">
        <v>Assistance au développement logiciel</v>
      </c>
      <c r="F56" s="221" t="str">
        <v>Inconnu</v>
      </c>
      <c r="G56" s="221" t="str">
        <v>Inconnu</v>
      </c>
      <c r="H56" s="221" t="str">
        <v>Inconnu</v>
      </c>
      <c r="I56" s="221" t="str">
        <v>À vérifier</v>
      </c>
      <c r="J56" s="221" t="str">
        <v>Référencé</v>
      </c>
    </row>
    <row r="57" spans="1:10" x14ac:dyDescent="0.35">
      <c r="A57" s="221" t="str">
        <v>OUT-046</v>
      </c>
      <c r="B57" s="221" t="str">
        <v>Whisper API</v>
      </c>
      <c r="C57" s="221" t="str">
        <v>OpenAI</v>
      </c>
      <c r="D57" s="221" t="str">
        <v>Transcription / Réunions</v>
      </c>
      <c r="E57" s="221" t="str">
        <v>Transcription et traitement de l’audio</v>
      </c>
      <c r="F57" s="221" t="str">
        <v>Inconnu</v>
      </c>
      <c r="G57" s="221" t="str">
        <v>Inconnu</v>
      </c>
      <c r="H57" s="221" t="str">
        <v>Inconnu</v>
      </c>
      <c r="I57" s="221" t="str">
        <v>À vérifier</v>
      </c>
      <c r="J57" s="221" t="str">
        <v>Référencé</v>
      </c>
    </row>
    <row r="58" spans="1:10" x14ac:dyDescent="0.35">
      <c r="A58" s="221" t="str">
        <v>OUT-047</v>
      </c>
      <c r="B58" s="221" t="str">
        <v>Gemini</v>
      </c>
      <c r="C58" s="221" t="str">
        <v>Google</v>
      </c>
      <c r="D58" s="221" t="str">
        <v>Chat IA</v>
      </c>
      <c r="E58" s="221" t="str">
        <v>Conversation et questions-réponses ; Génération d’images</v>
      </c>
      <c r="F58" s="221" t="str">
        <v>Inconnu</v>
      </c>
      <c r="G58" s="221" t="str">
        <v>Inconnu</v>
      </c>
      <c r="H58" s="221" t="str">
        <v>Inconnu</v>
      </c>
      <c r="I58" s="221" t="str">
        <v>À vérifier</v>
      </c>
      <c r="J58" s="221" t="str">
        <v>Référencé</v>
      </c>
    </row>
    <row r="59" spans="1:10" x14ac:dyDescent="0.35">
      <c r="A59" s="221" t="str">
        <v>OUT-048</v>
      </c>
      <c r="B59" s="221" t="str">
        <v>Vertex AI</v>
      </c>
      <c r="C59" s="221" t="str">
        <v>Google</v>
      </c>
      <c r="D59" s="221" t="str">
        <v>Plateforme de développement d’agents</v>
      </c>
      <c r="E59" s="221" t="str">
        <v>Création et orchestration d’agents</v>
      </c>
      <c r="F59" s="221" t="str">
        <v>Inconnu</v>
      </c>
      <c r="G59" s="221" t="str">
        <v>Inconnu</v>
      </c>
      <c r="H59" s="221" t="str">
        <v>Inconnu</v>
      </c>
      <c r="I59" s="221" t="str">
        <v>À vérifier</v>
      </c>
      <c r="J59" s="221" t="str">
        <v>Référencé</v>
      </c>
    </row>
    <row r="60" spans="1:10" x14ac:dyDescent="0.35">
      <c r="A60" s="221" t="str">
        <v>OUT-049</v>
      </c>
      <c r="B60" s="221" t="str">
        <v>Google AI Studio</v>
      </c>
      <c r="C60" s="221" t="str">
        <v>Google</v>
      </c>
      <c r="D60" s="221" t="str">
        <v>Plateforme de développement d’agents</v>
      </c>
      <c r="E60" s="221" t="str">
        <v>Création et orchestration d’agents</v>
      </c>
      <c r="F60" s="221" t="str">
        <v>Inconnu</v>
      </c>
      <c r="G60" s="221" t="str">
        <v>Inconnu</v>
      </c>
      <c r="H60" s="221" t="str">
        <v>Inconnu</v>
      </c>
      <c r="I60" s="221" t="str">
        <v>À vérifier</v>
      </c>
      <c r="J60" s="221" t="str">
        <v>Référencé</v>
      </c>
    </row>
    <row r="61" spans="1:10" x14ac:dyDescent="0.35">
      <c r="A61" s="221" t="str">
        <v>OUT-050</v>
      </c>
      <c r="B61" s="221" t="str">
        <v>Vertex AI Agent Builder</v>
      </c>
      <c r="C61" s="221" t="str">
        <v>Google</v>
      </c>
      <c r="D61" s="221" t="str">
        <v>Agent Builder no-code</v>
      </c>
      <c r="E61" s="221" t="str">
        <v>Création et orchestration d’agents</v>
      </c>
      <c r="F61" s="221" t="str">
        <v>Inconnu</v>
      </c>
      <c r="G61" s="221" t="str">
        <v>Inconnu</v>
      </c>
      <c r="H61" s="221" t="str">
        <v>Inconnu</v>
      </c>
      <c r="I61" s="221" t="str">
        <v>À vérifier</v>
      </c>
      <c r="J61" s="221" t="str">
        <v>Référencé</v>
      </c>
    </row>
    <row r="62" spans="1:10" x14ac:dyDescent="0.35">
      <c r="A62" s="221" t="str">
        <v>OUT-051</v>
      </c>
      <c r="B62" s="221" t="str">
        <v>BigQuery</v>
      </c>
      <c r="C62" s="221" t="str">
        <v>Google</v>
      </c>
      <c r="D62" s="221" t="str">
        <v>Base de données / Stockage</v>
      </c>
      <c r="E62" s="221" t="str">
        <v>Inconnu</v>
      </c>
      <c r="F62" s="221" t="str">
        <v>Inconnu</v>
      </c>
      <c r="G62" s="221" t="str">
        <v>Inconnu</v>
      </c>
      <c r="H62" s="221" t="str">
        <v>Inconnu</v>
      </c>
      <c r="I62" s="221" t="str">
        <v>À vérifier</v>
      </c>
      <c r="J62" s="221" t="str">
        <v>Référencé</v>
      </c>
    </row>
    <row r="63" spans="1:10" x14ac:dyDescent="0.35">
      <c r="A63" s="221" t="str">
        <v>OUT-052</v>
      </c>
      <c r="B63" s="221" t="str">
        <v>Google Drive</v>
      </c>
      <c r="C63" s="221" t="str">
        <v>Google</v>
      </c>
      <c r="D63" s="221" t="str">
        <v>Gestion documentaire / GED</v>
      </c>
      <c r="E63" s="221" t="str">
        <v>Inconnu</v>
      </c>
      <c r="F63" s="221" t="str">
        <v>Inconnu</v>
      </c>
      <c r="G63" s="221" t="str">
        <v>Inconnu</v>
      </c>
      <c r="H63" s="221" t="str">
        <v>Inconnu</v>
      </c>
      <c r="I63" s="221" t="str">
        <v>À vérifier</v>
      </c>
      <c r="J63" s="221" t="str">
        <v>Référencé</v>
      </c>
    </row>
    <row r="64" spans="1:10" x14ac:dyDescent="0.35">
      <c r="A64" s="221" t="str">
        <v>OUT-053</v>
      </c>
      <c r="B64" s="221" t="str">
        <v>Google Chat</v>
      </c>
      <c r="C64" s="221" t="str">
        <v>Google</v>
      </c>
      <c r="D64" s="221" t="str">
        <v>Collaboration / Communication</v>
      </c>
      <c r="E64" s="221" t="str">
        <v>Inconnu</v>
      </c>
      <c r="F64" s="221" t="str">
        <v>Inconnu</v>
      </c>
      <c r="G64" s="221" t="str">
        <v>Inconnu</v>
      </c>
      <c r="H64" s="221" t="str">
        <v>Inconnu</v>
      </c>
      <c r="I64" s="221" t="str">
        <v>À vérifier</v>
      </c>
      <c r="J64" s="221" t="str">
        <v>Référencé</v>
      </c>
    </row>
    <row r="65" spans="1:10" x14ac:dyDescent="0.35">
      <c r="A65" s="221" t="str">
        <v>OUT-054</v>
      </c>
      <c r="B65" s="221" t="str">
        <v>Google Meet</v>
      </c>
      <c r="C65" s="221" t="str">
        <v>Google</v>
      </c>
      <c r="D65" s="221" t="str">
        <v>Collaboration / Communication</v>
      </c>
      <c r="E65" s="221" t="str">
        <v>Transcription et traitement de l’audio</v>
      </c>
      <c r="F65" s="221" t="str">
        <v>Inconnu</v>
      </c>
      <c r="G65" s="221" t="str">
        <v>Inconnu</v>
      </c>
      <c r="H65" s="221" t="str">
        <v>Inconnu</v>
      </c>
      <c r="I65" s="221" t="str">
        <v>À vérifier</v>
      </c>
      <c r="J65" s="221" t="str">
        <v>Référencé</v>
      </c>
    </row>
    <row r="66" spans="1:10" x14ac:dyDescent="0.35">
      <c r="A66" s="221" t="str">
        <v>OUT-055</v>
      </c>
      <c r="B66" s="221" t="str">
        <v>Gemini Code Assist</v>
      </c>
      <c r="C66" s="221" t="str">
        <v>Google</v>
      </c>
      <c r="D66" s="221" t="str">
        <v>Code / Développement</v>
      </c>
      <c r="E66" s="221" t="str">
        <v>Assistance au développement logiciel</v>
      </c>
      <c r="F66" s="221" t="str">
        <v>Inconnu</v>
      </c>
      <c r="G66" s="221" t="str">
        <v>Inconnu</v>
      </c>
      <c r="H66" s="221" t="str">
        <v>Inconnu</v>
      </c>
      <c r="I66" s="221" t="str">
        <v>À vérifier</v>
      </c>
      <c r="J66" s="221" t="str">
        <v>Référencé</v>
      </c>
    </row>
    <row r="67" spans="1:10" x14ac:dyDescent="0.35">
      <c r="A67" s="221" t="str">
        <v>OUT-056</v>
      </c>
      <c r="B67" s="221" t="str">
        <v>Vertex AI Search</v>
      </c>
      <c r="C67" s="221" t="str">
        <v>Google</v>
      </c>
      <c r="D67" s="221" t="str">
        <v>Recherche / RAG</v>
      </c>
      <c r="E67" s="221" t="str">
        <v>Recherche et récupération d’information</v>
      </c>
      <c r="F67" s="221" t="str">
        <v>Inconnu</v>
      </c>
      <c r="G67" s="221" t="str">
        <v>Inconnu</v>
      </c>
      <c r="H67" s="221" t="str">
        <v>Inconnu</v>
      </c>
      <c r="I67" s="221" t="str">
        <v>À vérifier</v>
      </c>
      <c r="J67" s="221" t="str">
        <v>Référencé</v>
      </c>
    </row>
    <row r="68" spans="1:10" x14ac:dyDescent="0.35">
      <c r="A68" s="221" t="str">
        <v>OUT-057</v>
      </c>
      <c r="B68" s="221" t="str">
        <v>Looker</v>
      </c>
      <c r="C68" s="221" t="str">
        <v>Google</v>
      </c>
      <c r="D68" s="221" t="str">
        <v>Analyse de données / BI</v>
      </c>
      <c r="E68" s="221" t="str">
        <v>Analyse et visualisation de données</v>
      </c>
      <c r="F68" s="221" t="str">
        <v>Inconnu</v>
      </c>
      <c r="G68" s="221" t="str">
        <v>Inconnu</v>
      </c>
      <c r="H68" s="221" t="str">
        <v>Inconnu</v>
      </c>
      <c r="I68" s="221" t="str">
        <v>À vérifier</v>
      </c>
      <c r="J68" s="221" t="str">
        <v>Référencé</v>
      </c>
    </row>
    <row r="69" spans="1:10" x14ac:dyDescent="0.35">
      <c r="A69" s="221" t="str">
        <v>OUT-058</v>
      </c>
      <c r="B69" s="221" t="str">
        <v>Vertex AI Governance</v>
      </c>
      <c r="C69" s="221" t="str">
        <v>Google</v>
      </c>
      <c r="D69" s="221" t="str">
        <v>Sécurité / Gouvernance IA</v>
      </c>
      <c r="E69" s="221" t="str">
        <v>Inconnu</v>
      </c>
      <c r="F69" s="221" t="str">
        <v>Inconnu</v>
      </c>
      <c r="G69" s="221" t="str">
        <v>Inconnu</v>
      </c>
      <c r="H69" s="221" t="str">
        <v>Inconnu</v>
      </c>
      <c r="I69" s="221" t="str">
        <v>À vérifier</v>
      </c>
      <c r="J69" s="221" t="str">
        <v>Référencé</v>
      </c>
    </row>
    <row r="70" spans="1:10" x14ac:dyDescent="0.35">
      <c r="A70" s="221" t="str">
        <v>OUT-059</v>
      </c>
      <c r="B70" s="221" t="str">
        <v>Perplexity Assistant</v>
      </c>
      <c r="C70" s="221" t="str">
        <v>Perplexity</v>
      </c>
      <c r="D70" s="221" t="str">
        <v>Chat IA</v>
      </c>
      <c r="E70" s="221" t="str">
        <v>Conversation et questions-réponses ; Recherche et récupération d’information</v>
      </c>
      <c r="F70" s="221" t="str">
        <v>Inconnu</v>
      </c>
      <c r="G70" s="221" t="str">
        <v>Inconnu</v>
      </c>
      <c r="H70" s="221" t="str">
        <v>Inconnu</v>
      </c>
      <c r="I70" s="221" t="str">
        <v>À vérifier</v>
      </c>
      <c r="J70" s="221" t="str">
        <v>Référencé</v>
      </c>
    </row>
    <row r="71" spans="1:10" x14ac:dyDescent="0.35">
      <c r="A71" s="221" t="str">
        <v>OUT-060</v>
      </c>
      <c r="B71" s="221" t="str">
        <v>Sonar API</v>
      </c>
      <c r="C71" s="221" t="str">
        <v>Perplexity</v>
      </c>
      <c r="D71" s="221" t="str">
        <v>Plateforme de développement d’agents</v>
      </c>
      <c r="E71" s="221" t="str">
        <v>Recherche et récupération d’information</v>
      </c>
      <c r="F71" s="221" t="str">
        <v>Inconnu</v>
      </c>
      <c r="G71" s="221" t="str">
        <v>Inconnu</v>
      </c>
      <c r="H71" s="221" t="str">
        <v>Inconnu</v>
      </c>
      <c r="I71" s="221" t="str">
        <v>À vérifier</v>
      </c>
      <c r="J71" s="221" t="str">
        <v>Référencé</v>
      </c>
    </row>
    <row r="72" spans="1:10" x14ac:dyDescent="0.35">
      <c r="A72" s="221" t="str">
        <v>OUT-061</v>
      </c>
      <c r="B72" s="221" t="str">
        <v>Einstein Copilot</v>
      </c>
      <c r="C72" s="221" t="str">
        <v>Salesforce</v>
      </c>
      <c r="D72" s="221" t="str">
        <v>Assistance au travail quotidien</v>
      </c>
      <c r="E72" s="221" t="str">
        <v>Inconnu</v>
      </c>
      <c r="F72" s="221" t="str">
        <v>Inconnu</v>
      </c>
      <c r="G72" s="221" t="str">
        <v>Inconnu</v>
      </c>
      <c r="H72" s="221" t="str">
        <v>Inconnu</v>
      </c>
      <c r="I72" s="221" t="str">
        <v>À vérifier</v>
      </c>
      <c r="J72" s="221" t="str">
        <v>Référencé</v>
      </c>
    </row>
    <row r="73" spans="1:10" x14ac:dyDescent="0.35">
      <c r="A73" s="221" t="str">
        <v>OUT-062</v>
      </c>
      <c r="B73" s="221" t="str">
        <v>Agentforce</v>
      </c>
      <c r="C73" s="221" t="str">
        <v>Salesforce</v>
      </c>
      <c r="D73" s="221" t="str">
        <v>Agent Builder no-code</v>
      </c>
      <c r="E73" s="221" t="str">
        <v>Création et orchestration d’agents</v>
      </c>
      <c r="F73" s="221" t="str">
        <v>Inconnu</v>
      </c>
      <c r="G73" s="221" t="str">
        <v>Inconnu</v>
      </c>
      <c r="H73" s="221" t="str">
        <v>Inconnu</v>
      </c>
      <c r="I73" s="221" t="str">
        <v>À vérifier</v>
      </c>
      <c r="J73" s="221" t="str">
        <v>Référencé</v>
      </c>
    </row>
    <row r="74" spans="1:10" x14ac:dyDescent="0.35">
      <c r="A74" s="221" t="str">
        <v>OUT-063</v>
      </c>
      <c r="B74" s="221" t="str">
        <v>Salesforce Data Cloud</v>
      </c>
      <c r="C74" s="221" t="str">
        <v>Salesforce</v>
      </c>
      <c r="D74" s="221" t="str">
        <v>Base de données / Stockage</v>
      </c>
      <c r="E74" s="221" t="str">
        <v>Inconnu</v>
      </c>
      <c r="F74" s="221" t="str">
        <v>Inconnu</v>
      </c>
      <c r="G74" s="221" t="str">
        <v>Inconnu</v>
      </c>
      <c r="H74" s="221" t="str">
        <v>Inconnu</v>
      </c>
      <c r="I74" s="221" t="str">
        <v>À vérifier</v>
      </c>
      <c r="J74" s="221" t="str">
        <v>Référencé</v>
      </c>
    </row>
    <row r="75" spans="1:10" x14ac:dyDescent="0.35">
      <c r="A75" s="221" t="str">
        <v>OUT-064</v>
      </c>
      <c r="B75" s="221" t="str">
        <v>Salesforce Flow Builder</v>
      </c>
      <c r="C75" s="221" t="str">
        <v>Salesforce</v>
      </c>
      <c r="D75" s="221" t="str">
        <v>Automatisation des flux</v>
      </c>
      <c r="E75" s="221" t="str">
        <v>Automatisation et exécution d’actions</v>
      </c>
      <c r="F75" s="221" t="str">
        <v>Inconnu</v>
      </c>
      <c r="G75" s="221" t="str">
        <v>Inconnu</v>
      </c>
      <c r="H75" s="221" t="str">
        <v>Inconnu</v>
      </c>
      <c r="I75" s="221" t="str">
        <v>À vérifier</v>
      </c>
      <c r="J75" s="221" t="str">
        <v>Référencé</v>
      </c>
    </row>
    <row r="76" spans="1:10" x14ac:dyDescent="0.35">
      <c r="A76" s="221" t="str">
        <v>OUT-065</v>
      </c>
      <c r="B76" s="221" t="str">
        <v>Salesforce Files</v>
      </c>
      <c r="C76" s="221" t="str">
        <v>Salesforce</v>
      </c>
      <c r="D76" s="221" t="str">
        <v>Gestion documentaire / GED</v>
      </c>
      <c r="E76" s="221" t="str">
        <v>Inconnu</v>
      </c>
      <c r="F76" s="221" t="str">
        <v>Inconnu</v>
      </c>
      <c r="G76" s="221" t="str">
        <v>Inconnu</v>
      </c>
      <c r="H76" s="221" t="str">
        <v>Inconnu</v>
      </c>
      <c r="I76" s="221" t="str">
        <v>À vérifier</v>
      </c>
      <c r="J76" s="221" t="str">
        <v>Référencé</v>
      </c>
    </row>
    <row r="77" spans="1:10" x14ac:dyDescent="0.35">
      <c r="A77" s="221" t="str">
        <v>OUT-066</v>
      </c>
      <c r="B77" s="221" t="str">
        <v>Slack</v>
      </c>
      <c r="C77" s="221" t="str">
        <v>Salesforce</v>
      </c>
      <c r="D77" s="221" t="str">
        <v>Collaboration / Communication</v>
      </c>
      <c r="E77" s="221" t="str">
        <v>Inconnu</v>
      </c>
      <c r="F77" s="221" t="str">
        <v>Inconnu</v>
      </c>
      <c r="G77" s="221" t="str">
        <v>Inconnu</v>
      </c>
      <c r="H77" s="221" t="str">
        <v>Inconnu</v>
      </c>
      <c r="I77" s="221" t="str">
        <v>À vérifier</v>
      </c>
      <c r="J77" s="221" t="str">
        <v>Référencé</v>
      </c>
    </row>
    <row r="78" spans="1:10" x14ac:dyDescent="0.35">
      <c r="A78" s="221" t="str">
        <v>OUT-067</v>
      </c>
      <c r="B78" s="221" t="str">
        <v>Einstein Search</v>
      </c>
      <c r="C78" s="221" t="str">
        <v>Salesforce</v>
      </c>
      <c r="D78" s="221" t="str">
        <v>Recherche / RAG</v>
      </c>
      <c r="E78" s="221" t="str">
        <v>Recherche et récupération d’information</v>
      </c>
      <c r="F78" s="221" t="str">
        <v>Inconnu</v>
      </c>
      <c r="G78" s="221" t="str">
        <v>Inconnu</v>
      </c>
      <c r="H78" s="221" t="str">
        <v>Inconnu</v>
      </c>
      <c r="I78" s="221" t="str">
        <v>À vérifier</v>
      </c>
      <c r="J78" s="221" t="str">
        <v>Référencé</v>
      </c>
    </row>
    <row r="79" spans="1:10" x14ac:dyDescent="0.35">
      <c r="A79" s="221" t="str">
        <v>OUT-068</v>
      </c>
      <c r="B79" s="221" t="str">
        <v>Tableau AI</v>
      </c>
      <c r="C79" s="221" t="str">
        <v>Salesforce</v>
      </c>
      <c r="D79" s="221" t="str">
        <v>Analyse de données / BI</v>
      </c>
      <c r="E79" s="221" t="str">
        <v>Analyse et visualisation de données</v>
      </c>
      <c r="F79" s="221" t="str">
        <v>Inconnu</v>
      </c>
      <c r="G79" s="221" t="str">
        <v>Inconnu</v>
      </c>
      <c r="H79" s="221" t="str">
        <v>Inconnu</v>
      </c>
      <c r="I79" s="221" t="str">
        <v>À vérifier</v>
      </c>
      <c r="J79" s="221" t="str">
        <v>Référencé</v>
      </c>
    </row>
    <row r="80" spans="1:10" x14ac:dyDescent="0.35">
      <c r="A80" s="221" t="str">
        <v>OUT-069</v>
      </c>
      <c r="B80" s="221" t="str">
        <v>Salesforce Shield</v>
      </c>
      <c r="C80" s="221" t="str">
        <v>Salesforce</v>
      </c>
      <c r="D80" s="221" t="str">
        <v>Sécurité / Gouvernance IA</v>
      </c>
      <c r="E80" s="221" t="str">
        <v>Inconnu</v>
      </c>
      <c r="F80" s="221" t="str">
        <v>Inconnu</v>
      </c>
      <c r="G80" s="221" t="str">
        <v>Inconnu</v>
      </c>
      <c r="H80" s="221" t="str">
        <v>Inconnu</v>
      </c>
      <c r="I80" s="221" t="str">
        <v>À vérifier</v>
      </c>
      <c r="J80" s="221" t="str">
        <v>Référencé</v>
      </c>
    </row>
    <row r="81" spans="1:10" x14ac:dyDescent="0.35">
      <c r="A81" s="221" t="str">
        <v>OUT-070</v>
      </c>
      <c r="B81" s="221" t="str">
        <v>Einstein Trust</v>
      </c>
      <c r="C81" s="221" t="str">
        <v>Salesforce</v>
      </c>
      <c r="D81" s="221" t="str">
        <v>Sécurité / Gouvernance IA</v>
      </c>
      <c r="E81" s="221" t="str">
        <v>Inconnu</v>
      </c>
      <c r="F81" s="221" t="str">
        <v>Inconnu</v>
      </c>
      <c r="G81" s="221" t="str">
        <v>Inconnu</v>
      </c>
      <c r="H81" s="221" t="str">
        <v>Inconnu</v>
      </c>
      <c r="I81" s="221" t="str">
        <v>À vérifier</v>
      </c>
      <c r="J81" s="221" t="str">
        <v>Référencé</v>
      </c>
    </row>
    <row r="82" spans="1:10" x14ac:dyDescent="0.35">
      <c r="A82" s="221" t="str">
        <v>OUT-071</v>
      </c>
      <c r="B82" s="221" t="str">
        <v>Now Assist</v>
      </c>
      <c r="C82" s="221" t="str">
        <v>ServiceNow</v>
      </c>
      <c r="D82" s="221" t="str">
        <v>Assistance au travail quotidien</v>
      </c>
      <c r="E82" s="221" t="str">
        <v>Inconnu</v>
      </c>
      <c r="F82" s="221" t="str">
        <v>Inconnu</v>
      </c>
      <c r="G82" s="221" t="str">
        <v>Inconnu</v>
      </c>
      <c r="H82" s="221" t="str">
        <v>Inconnu</v>
      </c>
      <c r="I82" s="221" t="str">
        <v>À vérifier</v>
      </c>
      <c r="J82" s="221" t="str">
        <v>Référencé</v>
      </c>
    </row>
    <row r="83" spans="1:10" x14ac:dyDescent="0.35">
      <c r="A83" s="221" t="str">
        <v>OUT-072</v>
      </c>
      <c r="B83" s="221" t="str">
        <v>ServiceNow AI Agent Studio</v>
      </c>
      <c r="C83" s="221" t="str">
        <v>ServiceNow</v>
      </c>
      <c r="D83" s="221" t="str">
        <v>Agent Builder no-code</v>
      </c>
      <c r="E83" s="221" t="str">
        <v>Création et orchestration d’agents</v>
      </c>
      <c r="F83" s="221" t="str">
        <v>Inconnu</v>
      </c>
      <c r="G83" s="221" t="str">
        <v>Inconnu</v>
      </c>
      <c r="H83" s="221" t="str">
        <v>Inconnu</v>
      </c>
      <c r="I83" s="221" t="str">
        <v>À vérifier</v>
      </c>
      <c r="J83" s="221" t="str">
        <v>Référencé</v>
      </c>
    </row>
    <row r="84" spans="1:10" x14ac:dyDescent="0.35">
      <c r="A84" s="221" t="str">
        <v>OUT-073</v>
      </c>
      <c r="B84" s="221" t="str">
        <v>ServiceNow Flow Designer</v>
      </c>
      <c r="C84" s="221" t="str">
        <v>ServiceNow</v>
      </c>
      <c r="D84" s="221" t="str">
        <v>Automatisation des flux</v>
      </c>
      <c r="E84" s="221" t="str">
        <v>Automatisation et exécution d’actions</v>
      </c>
      <c r="F84" s="221" t="str">
        <v>Inconnu</v>
      </c>
      <c r="G84" s="221" t="str">
        <v>Inconnu</v>
      </c>
      <c r="H84" s="221" t="str">
        <v>Inconnu</v>
      </c>
      <c r="I84" s="221" t="str">
        <v>À vérifier</v>
      </c>
      <c r="J84" s="221" t="str">
        <v>Référencé</v>
      </c>
    </row>
    <row r="85" spans="1:10" x14ac:dyDescent="0.35">
      <c r="A85" s="221" t="str">
        <v>OUT-074</v>
      </c>
      <c r="B85" s="221" t="str">
        <v>Now Platform Tables</v>
      </c>
      <c r="C85" s="221" t="str">
        <v>ServiceNow</v>
      </c>
      <c r="D85" s="221" t="str">
        <v>Base de données / Stockage</v>
      </c>
      <c r="E85" s="221" t="str">
        <v>Inconnu</v>
      </c>
      <c r="F85" s="221" t="str">
        <v>Inconnu</v>
      </c>
      <c r="G85" s="221" t="str">
        <v>Inconnu</v>
      </c>
      <c r="H85" s="221" t="str">
        <v>Inconnu</v>
      </c>
      <c r="I85" s="221" t="str">
        <v>À vérifier</v>
      </c>
      <c r="J85" s="221" t="str">
        <v>Référencé</v>
      </c>
    </row>
    <row r="86" spans="1:10" x14ac:dyDescent="0.35">
      <c r="A86" s="221" t="str">
        <v>OUT-075</v>
      </c>
      <c r="B86" s="221" t="str">
        <v>Now Assist Search</v>
      </c>
      <c r="C86" s="221" t="str">
        <v>ServiceNow</v>
      </c>
      <c r="D86" s="221" t="str">
        <v>Recherche / RAG</v>
      </c>
      <c r="E86" s="221" t="str">
        <v>Recherche et récupération d’information</v>
      </c>
      <c r="F86" s="221" t="str">
        <v>Inconnu</v>
      </c>
      <c r="G86" s="221" t="str">
        <v>Inconnu</v>
      </c>
      <c r="H86" s="221" t="str">
        <v>Inconnu</v>
      </c>
      <c r="I86" s="221" t="str">
        <v>À vérifier</v>
      </c>
      <c r="J86" s="221" t="str">
        <v>Référencé</v>
      </c>
    </row>
    <row r="87" spans="1:10" x14ac:dyDescent="0.35">
      <c r="A87" s="221" t="str">
        <v>OUT-076</v>
      </c>
      <c r="B87" s="221" t="str">
        <v>Now Assist Analytics</v>
      </c>
      <c r="C87" s="221" t="str">
        <v>ServiceNow</v>
      </c>
      <c r="D87" s="221" t="str">
        <v>Analyse de données / BI</v>
      </c>
      <c r="E87" s="221" t="str">
        <v>Analyse et visualisation de données</v>
      </c>
      <c r="F87" s="221" t="str">
        <v>Inconnu</v>
      </c>
      <c r="G87" s="221" t="str">
        <v>Inconnu</v>
      </c>
      <c r="H87" s="221" t="str">
        <v>Inconnu</v>
      </c>
      <c r="I87" s="221" t="str">
        <v>À vérifier</v>
      </c>
      <c r="J87" s="221" t="str">
        <v>Référencé</v>
      </c>
    </row>
    <row r="88" spans="1:10" x14ac:dyDescent="0.35">
      <c r="A88" s="221" t="str">
        <v>OUT-077</v>
      </c>
      <c r="B88" s="221" t="str">
        <v>Joule</v>
      </c>
      <c r="C88" s="221" t="str">
        <v>SAP</v>
      </c>
      <c r="D88" s="221" t="str">
        <v>Assistance au travail quotidien</v>
      </c>
      <c r="E88" s="221" t="str">
        <v>Inconnu</v>
      </c>
      <c r="F88" s="221" t="str">
        <v>Inconnu</v>
      </c>
      <c r="G88" s="221" t="str">
        <v>Inconnu</v>
      </c>
      <c r="H88" s="221" t="str">
        <v>Inconnu</v>
      </c>
      <c r="I88" s="221" t="str">
        <v>À vérifier</v>
      </c>
      <c r="J88" s="221" t="str">
        <v>Référencé</v>
      </c>
    </row>
    <row r="89" spans="1:10" x14ac:dyDescent="0.35">
      <c r="A89" s="221" t="str">
        <v>OUT-078</v>
      </c>
      <c r="B89" s="221" t="str">
        <v>SAP AI Core</v>
      </c>
      <c r="C89" s="221" t="str">
        <v>SAP</v>
      </c>
      <c r="D89" s="221" t="str">
        <v>Plateforme de développement d’agents</v>
      </c>
      <c r="E89" s="221" t="str">
        <v>Création et orchestration d’agents</v>
      </c>
      <c r="F89" s="221" t="str">
        <v>Inconnu</v>
      </c>
      <c r="G89" s="221" t="str">
        <v>Inconnu</v>
      </c>
      <c r="H89" s="221" t="str">
        <v>Inconnu</v>
      </c>
      <c r="I89" s="221" t="str">
        <v>À vérifier</v>
      </c>
      <c r="J89" s="221" t="str">
        <v>Référencé</v>
      </c>
    </row>
    <row r="90" spans="1:10" x14ac:dyDescent="0.35">
      <c r="A90" s="221" t="str">
        <v>OUT-079</v>
      </c>
      <c r="B90" s="221" t="str">
        <v>SAP Build Process Automation</v>
      </c>
      <c r="C90" s="221" t="str">
        <v>SAP</v>
      </c>
      <c r="D90" s="221" t="str">
        <v>Automatisation des flux</v>
      </c>
      <c r="E90" s="221" t="str">
        <v>Automatisation et exécution d’actions</v>
      </c>
      <c r="F90" s="221" t="str">
        <v>Inconnu</v>
      </c>
      <c r="G90" s="221" t="str">
        <v>Inconnu</v>
      </c>
      <c r="H90" s="221" t="str">
        <v>Inconnu</v>
      </c>
      <c r="I90" s="221" t="str">
        <v>À vérifier</v>
      </c>
      <c r="J90" s="221" t="str">
        <v>Référencé</v>
      </c>
    </row>
    <row r="91" spans="1:10" x14ac:dyDescent="0.35">
      <c r="A91" s="221" t="str">
        <v>OUT-080</v>
      </c>
      <c r="B91" s="221" t="str">
        <v>SAP HANA</v>
      </c>
      <c r="C91" s="221" t="str">
        <v>SAP</v>
      </c>
      <c r="D91" s="221" t="str">
        <v>Base de données / Stockage</v>
      </c>
      <c r="E91" s="221" t="str">
        <v>Inconnu</v>
      </c>
      <c r="F91" s="221" t="str">
        <v>Inconnu</v>
      </c>
      <c r="G91" s="221" t="str">
        <v>Inconnu</v>
      </c>
      <c r="H91" s="221" t="str">
        <v>Inconnu</v>
      </c>
      <c r="I91" s="221" t="str">
        <v>À vérifier</v>
      </c>
      <c r="J91" s="221" t="str">
        <v>Référencé</v>
      </c>
    </row>
    <row r="92" spans="1:10" x14ac:dyDescent="0.35">
      <c r="A92" s="221" t="str">
        <v>OUT-081</v>
      </c>
      <c r="B92" s="221" t="str">
        <v>SAP Document Management</v>
      </c>
      <c r="C92" s="221" t="str">
        <v>SAP</v>
      </c>
      <c r="D92" s="221" t="str">
        <v>Gestion documentaire / GED</v>
      </c>
      <c r="E92" s="221" t="str">
        <v>Inconnu</v>
      </c>
      <c r="F92" s="221" t="str">
        <v>Inconnu</v>
      </c>
      <c r="G92" s="221" t="str">
        <v>Inconnu</v>
      </c>
      <c r="H92" s="221" t="str">
        <v>Inconnu</v>
      </c>
      <c r="I92" s="221" t="str">
        <v>À vérifier</v>
      </c>
      <c r="J92" s="221" t="str">
        <v>Référencé</v>
      </c>
    </row>
    <row r="93" spans="1:10" x14ac:dyDescent="0.35">
      <c r="A93" s="221" t="str">
        <v>OUT-082</v>
      </c>
      <c r="B93" s="221" t="str">
        <v>SAP Jam</v>
      </c>
      <c r="C93" s="221" t="str">
        <v>SAP</v>
      </c>
      <c r="D93" s="221" t="str">
        <v>Collaboration / Communication</v>
      </c>
      <c r="E93" s="221" t="str">
        <v>Inconnu</v>
      </c>
      <c r="F93" s="221" t="str">
        <v>Inconnu</v>
      </c>
      <c r="G93" s="221" t="str">
        <v>Inconnu</v>
      </c>
      <c r="H93" s="221" t="str">
        <v>Inconnu</v>
      </c>
      <c r="I93" s="221" t="str">
        <v>À vérifier</v>
      </c>
      <c r="J93" s="221" t="str">
        <v>Référencé</v>
      </c>
    </row>
    <row r="94" spans="1:10" x14ac:dyDescent="0.35">
      <c r="A94" s="221" t="str">
        <v>OUT-083</v>
      </c>
      <c r="B94" s="221" t="str">
        <v>SAP Business AI Search</v>
      </c>
      <c r="C94" s="221" t="str">
        <v>SAP</v>
      </c>
      <c r="D94" s="221" t="str">
        <v>Recherche / RAG</v>
      </c>
      <c r="E94" s="221" t="str">
        <v>Recherche et récupération d’information</v>
      </c>
      <c r="F94" s="221" t="str">
        <v>Inconnu</v>
      </c>
      <c r="G94" s="221" t="str">
        <v>Inconnu</v>
      </c>
      <c r="H94" s="221" t="str">
        <v>Inconnu</v>
      </c>
      <c r="I94" s="221" t="str">
        <v>À vérifier</v>
      </c>
      <c r="J94" s="221" t="str">
        <v>Référencé</v>
      </c>
    </row>
    <row r="95" spans="1:10" x14ac:dyDescent="0.35">
      <c r="A95" s="221" t="str">
        <v>OUT-084</v>
      </c>
      <c r="B95" s="221" t="str">
        <v>SAP Analytics Cloud</v>
      </c>
      <c r="C95" s="221" t="str">
        <v>SAP</v>
      </c>
      <c r="D95" s="221" t="str">
        <v>Analyse de données / BI</v>
      </c>
      <c r="E95" s="221" t="str">
        <v>Analyse et visualisation de données</v>
      </c>
      <c r="F95" s="221" t="str">
        <v>Inconnu</v>
      </c>
      <c r="G95" s="221" t="str">
        <v>Inconnu</v>
      </c>
      <c r="H95" s="221" t="str">
        <v>Inconnu</v>
      </c>
      <c r="I95" s="221" t="str">
        <v>À vérifier</v>
      </c>
      <c r="J95" s="221" t="str">
        <v>Référencé</v>
      </c>
    </row>
    <row r="96" spans="1:10" x14ac:dyDescent="0.35">
      <c r="A96" s="221" t="str">
        <v>OUT-085</v>
      </c>
      <c r="B96" s="221" t="str">
        <v>Oracle AI Digital Assistant</v>
      </c>
      <c r="C96" s="221" t="str">
        <v>Oracle</v>
      </c>
      <c r="D96" s="221" t="str">
        <v>Assistance au travail quotidien</v>
      </c>
      <c r="E96" s="221" t="str">
        <v>Conversation et questions-réponses</v>
      </c>
      <c r="F96" s="221" t="str">
        <v>Inconnu</v>
      </c>
      <c r="G96" s="221" t="str">
        <v>Inconnu</v>
      </c>
      <c r="H96" s="221" t="str">
        <v>Inconnu</v>
      </c>
      <c r="I96" s="221" t="str">
        <v>À vérifier</v>
      </c>
      <c r="J96" s="221" t="str">
        <v>Référencé</v>
      </c>
    </row>
    <row r="97" spans="1:10" x14ac:dyDescent="0.35">
      <c r="A97" s="221" t="str">
        <v>OUT-086</v>
      </c>
      <c r="B97" s="221" t="str">
        <v>OCI Generative AI</v>
      </c>
      <c r="C97" s="221" t="str">
        <v>Oracle</v>
      </c>
      <c r="D97" s="221" t="str">
        <v>Plateforme de développement d’agents</v>
      </c>
      <c r="E97" s="221" t="str">
        <v>Création et orchestration d’agents</v>
      </c>
      <c r="F97" s="221" t="str">
        <v>Inconnu</v>
      </c>
      <c r="G97" s="221" t="str">
        <v>Inconnu</v>
      </c>
      <c r="H97" s="221" t="str">
        <v>Inconnu</v>
      </c>
      <c r="I97" s="221" t="str">
        <v>À vérifier</v>
      </c>
      <c r="J97" s="221" t="str">
        <v>Référencé</v>
      </c>
    </row>
    <row r="98" spans="1:10" x14ac:dyDescent="0.35">
      <c r="A98" s="221" t="str">
        <v>OUT-087</v>
      </c>
      <c r="B98" s="221" t="str">
        <v>Oracle Integration Cloud</v>
      </c>
      <c r="C98" s="221" t="str">
        <v>Oracle</v>
      </c>
      <c r="D98" s="221" t="str">
        <v>Automatisation des flux</v>
      </c>
      <c r="E98" s="221" t="str">
        <v>Automatisation et exécution d’actions</v>
      </c>
      <c r="F98" s="221" t="str">
        <v>Inconnu</v>
      </c>
      <c r="G98" s="221" t="str">
        <v>Inconnu</v>
      </c>
      <c r="H98" s="221" t="str">
        <v>Inconnu</v>
      </c>
      <c r="I98" s="221" t="str">
        <v>À vérifier</v>
      </c>
      <c r="J98" s="221" t="str">
        <v>Référencé</v>
      </c>
    </row>
    <row r="99" spans="1:10" x14ac:dyDescent="0.35">
      <c r="A99" s="221" t="str">
        <v>OUT-088</v>
      </c>
      <c r="B99" s="221" t="str">
        <v>Oracle Database</v>
      </c>
      <c r="C99" s="221" t="str">
        <v>Oracle</v>
      </c>
      <c r="D99" s="221" t="str">
        <v>Base de données / Stockage</v>
      </c>
      <c r="E99" s="221" t="str">
        <v>Inconnu</v>
      </c>
      <c r="F99" s="221" t="str">
        <v>Inconnu</v>
      </c>
      <c r="G99" s="221" t="str">
        <v>Inconnu</v>
      </c>
      <c r="H99" s="221" t="str">
        <v>Inconnu</v>
      </c>
      <c r="I99" s="221" t="str">
        <v>À vérifier</v>
      </c>
      <c r="J99" s="221" t="str">
        <v>Référencé</v>
      </c>
    </row>
    <row r="100" spans="1:10" x14ac:dyDescent="0.35">
      <c r="A100" s="221" t="str">
        <v>OUT-089</v>
      </c>
      <c r="B100" s="221" t="str">
        <v>Oracle Content Management</v>
      </c>
      <c r="C100" s="221" t="str">
        <v>Oracle</v>
      </c>
      <c r="D100" s="221" t="str">
        <v>Gestion documentaire / GED</v>
      </c>
      <c r="E100" s="221" t="str">
        <v>Inconnu</v>
      </c>
      <c r="F100" s="221" t="str">
        <v>Inconnu</v>
      </c>
      <c r="G100" s="221" t="str">
        <v>Inconnu</v>
      </c>
      <c r="H100" s="221" t="str">
        <v>Inconnu</v>
      </c>
      <c r="I100" s="221" t="str">
        <v>À vérifier</v>
      </c>
      <c r="J100" s="221" t="str">
        <v>Référencé</v>
      </c>
    </row>
    <row r="101" spans="1:10" x14ac:dyDescent="0.35">
      <c r="A101" s="221" t="str">
        <v>OUT-090</v>
      </c>
      <c r="B101" s="221" t="str">
        <v>Oracle AI Vector Search</v>
      </c>
      <c r="C101" s="221" t="str">
        <v>Oracle</v>
      </c>
      <c r="D101" s="221" t="str">
        <v>Recherche / RAG</v>
      </c>
      <c r="E101" s="221" t="str">
        <v>Recherche et récupération d’information</v>
      </c>
      <c r="F101" s="221" t="str">
        <v>Inconnu</v>
      </c>
      <c r="G101" s="221" t="str">
        <v>Inconnu</v>
      </c>
      <c r="H101" s="221" t="str">
        <v>Inconnu</v>
      </c>
      <c r="I101" s="221" t="str">
        <v>À vérifier</v>
      </c>
      <c r="J101" s="221" t="str">
        <v>Référencé</v>
      </c>
    </row>
    <row r="102" spans="1:10" x14ac:dyDescent="0.35">
      <c r="A102" s="221" t="str">
        <v>OUT-091</v>
      </c>
      <c r="B102" s="221" t="str">
        <v>Oracle Analytics</v>
      </c>
      <c r="C102" s="221" t="str">
        <v>Oracle</v>
      </c>
      <c r="D102" s="221" t="str">
        <v>Analyse de données / BI</v>
      </c>
      <c r="E102" s="221" t="str">
        <v>Analyse et visualisation de données</v>
      </c>
      <c r="F102" s="221" t="str">
        <v>Inconnu</v>
      </c>
      <c r="G102" s="221" t="str">
        <v>Inconnu</v>
      </c>
      <c r="H102" s="221" t="str">
        <v>Inconnu</v>
      </c>
      <c r="I102" s="221" t="str">
        <v>À vérifier</v>
      </c>
      <c r="J102" s="221" t="str">
        <v>Référencé</v>
      </c>
    </row>
    <row r="103" spans="1:10" x14ac:dyDescent="0.35">
      <c r="A103" s="221" t="str">
        <v>OUT-092</v>
      </c>
      <c r="B103" s="221" t="str">
        <v>Atlassian Rovo</v>
      </c>
      <c r="C103" s="221" t="str">
        <v>Atlassian</v>
      </c>
      <c r="D103" s="221" t="str">
        <v>Assistance au travail quotidien</v>
      </c>
      <c r="E103" s="221" t="str">
        <v>Inconnu</v>
      </c>
      <c r="F103" s="221" t="str">
        <v>Inconnu</v>
      </c>
      <c r="G103" s="221" t="str">
        <v>Inconnu</v>
      </c>
      <c r="H103" s="221" t="str">
        <v>Inconnu</v>
      </c>
      <c r="I103" s="221" t="str">
        <v>À vérifier</v>
      </c>
      <c r="J103" s="221" t="str">
        <v>Référencé</v>
      </c>
    </row>
    <row r="104" spans="1:10" x14ac:dyDescent="0.35">
      <c r="A104" s="221" t="str">
        <v>OUT-093</v>
      </c>
      <c r="B104" s="221" t="str">
        <v>Atlassian Intelligence</v>
      </c>
      <c r="C104" s="221" t="str">
        <v>Atlassian</v>
      </c>
      <c r="D104" s="221" t="str">
        <v>Recherche / RAG</v>
      </c>
      <c r="E104" s="221" t="str">
        <v>Recherche et récupération d’information</v>
      </c>
      <c r="F104" s="221" t="str">
        <v>Inconnu</v>
      </c>
      <c r="G104" s="221" t="str">
        <v>Inconnu</v>
      </c>
      <c r="H104" s="221" t="str">
        <v>Inconnu</v>
      </c>
      <c r="I104" s="221" t="str">
        <v>À vérifier</v>
      </c>
      <c r="J104" s="221" t="str">
        <v>Référencé</v>
      </c>
    </row>
    <row r="105" spans="1:10" x14ac:dyDescent="0.35">
      <c r="A105" s="221" t="str">
        <v>OUT-094</v>
      </c>
      <c r="B105" s="221" t="str">
        <v>Jira</v>
      </c>
      <c r="C105" s="221" t="str">
        <v>Atlassian</v>
      </c>
      <c r="D105" s="221" t="str">
        <v>Collaboration / Communication</v>
      </c>
      <c r="E105" s="221" t="str">
        <v>Inconnu</v>
      </c>
      <c r="F105" s="221" t="str">
        <v>Inconnu</v>
      </c>
      <c r="G105" s="221" t="str">
        <v>Inconnu</v>
      </c>
      <c r="H105" s="221" t="str">
        <v>Inconnu</v>
      </c>
      <c r="I105" s="221" t="str">
        <v>À vérifier</v>
      </c>
      <c r="J105" s="221" t="str">
        <v>Référencé</v>
      </c>
    </row>
    <row r="106" spans="1:10" x14ac:dyDescent="0.35">
      <c r="A106" s="221" t="str">
        <v>OUT-095</v>
      </c>
      <c r="B106" s="221" t="str">
        <v>Confluence</v>
      </c>
      <c r="C106" s="221" t="str">
        <v>Atlassian</v>
      </c>
      <c r="D106" s="221" t="str">
        <v>Gestion documentaire / GED</v>
      </c>
      <c r="E106" s="221" t="str">
        <v>Inconnu</v>
      </c>
      <c r="F106" s="221" t="str">
        <v>Inconnu</v>
      </c>
      <c r="G106" s="221" t="str">
        <v>Inconnu</v>
      </c>
      <c r="H106" s="221" t="str">
        <v>Inconnu</v>
      </c>
      <c r="I106" s="221" t="str">
        <v>À vérifier</v>
      </c>
      <c r="J106" s="221" t="str">
        <v>Référencé</v>
      </c>
    </row>
    <row r="107" spans="1:10" x14ac:dyDescent="0.35">
      <c r="A107" s="221" t="str">
        <v>OUT-096</v>
      </c>
      <c r="B107" s="221" t="str">
        <v>Automation for Jira</v>
      </c>
      <c r="C107" s="221" t="str">
        <v>Atlassian</v>
      </c>
      <c r="D107" s="221" t="str">
        <v>Automatisation des flux</v>
      </c>
      <c r="E107" s="221" t="str">
        <v>Automatisation et exécution d’actions</v>
      </c>
      <c r="F107" s="221" t="str">
        <v>Inconnu</v>
      </c>
      <c r="G107" s="221" t="str">
        <v>Inconnu</v>
      </c>
      <c r="H107" s="221" t="str">
        <v>Inconnu</v>
      </c>
      <c r="I107" s="221" t="str">
        <v>À vérifier</v>
      </c>
      <c r="J107" s="221" t="str">
        <v>Référencé</v>
      </c>
    </row>
    <row r="108" spans="1:10" x14ac:dyDescent="0.35">
      <c r="A108" s="221" t="str">
        <v>OUT-097</v>
      </c>
      <c r="B108" s="221" t="str">
        <v>Atlassian Guard</v>
      </c>
      <c r="C108" s="221" t="str">
        <v>Atlassian</v>
      </c>
      <c r="D108" s="221" t="str">
        <v>Sécurité / Gouvernance IA</v>
      </c>
      <c r="E108" s="221" t="str">
        <v>Inconnu</v>
      </c>
      <c r="F108" s="221" t="str">
        <v>Inconnu</v>
      </c>
      <c r="G108" s="221" t="str">
        <v>Inconnu</v>
      </c>
      <c r="H108" s="221" t="str">
        <v>Inconnu</v>
      </c>
      <c r="I108" s="221" t="str">
        <v>À vérifier</v>
      </c>
      <c r="J108" s="221" t="str">
        <v>Référencé</v>
      </c>
    </row>
    <row r="109" spans="1:10" x14ac:dyDescent="0.35">
      <c r="A109" s="221" t="str">
        <v>OUT-098</v>
      </c>
      <c r="B109" s="221" t="str">
        <v>Amazon Q</v>
      </c>
      <c r="C109" s="221" t="str">
        <v>Amazon</v>
      </c>
      <c r="D109" s="221" t="str">
        <v>Chat IA</v>
      </c>
      <c r="E109" s="221" t="str">
        <v>Conversation et questions-réponses</v>
      </c>
      <c r="F109" s="221" t="str">
        <v>Inconnu</v>
      </c>
      <c r="G109" s="221" t="str">
        <v>Inconnu</v>
      </c>
      <c r="H109" s="221" t="str">
        <v>Inconnu</v>
      </c>
      <c r="I109" s="221" t="str">
        <v>À vérifier</v>
      </c>
      <c r="J109" s="221" t="str">
        <v>Référencé</v>
      </c>
    </row>
    <row r="110" spans="1:10" x14ac:dyDescent="0.35">
      <c r="A110" s="221" t="str">
        <v>OUT-099</v>
      </c>
      <c r="B110" s="221" t="str">
        <v>Amazon Bedrock</v>
      </c>
      <c r="C110" s="221" t="str">
        <v>Amazon</v>
      </c>
      <c r="D110" s="221" t="str">
        <v>Plateforme de développement d’agents</v>
      </c>
      <c r="E110" s="221" t="str">
        <v>Création et orchestration d’agents</v>
      </c>
      <c r="F110" s="221" t="str">
        <v>Inconnu</v>
      </c>
      <c r="G110" s="221" t="str">
        <v>Inconnu</v>
      </c>
      <c r="H110" s="221" t="str">
        <v>Inconnu</v>
      </c>
      <c r="I110" s="221" t="str">
        <v>À vérifier</v>
      </c>
      <c r="J110" s="221" t="str">
        <v>Référencé</v>
      </c>
    </row>
    <row r="111" spans="1:10" x14ac:dyDescent="0.35">
      <c r="A111" s="221" t="str">
        <v>OUT-100</v>
      </c>
      <c r="B111" s="221" t="str">
        <v>Amazon SageMaker</v>
      </c>
      <c r="C111" s="221" t="str">
        <v>Amazon</v>
      </c>
      <c r="D111" s="221" t="str">
        <v>Plateforme de développement d’agents</v>
      </c>
      <c r="E111" s="221" t="str">
        <v>Création et orchestration d’agents</v>
      </c>
      <c r="F111" s="221" t="str">
        <v>Inconnu</v>
      </c>
      <c r="G111" s="221" t="str">
        <v>Inconnu</v>
      </c>
      <c r="H111" s="221" t="str">
        <v>Inconnu</v>
      </c>
      <c r="I111" s="221" t="str">
        <v>À vérifier</v>
      </c>
      <c r="J111" s="221" t="str">
        <v>Référencé</v>
      </c>
    </row>
    <row r="112" spans="1:10" x14ac:dyDescent="0.35">
      <c r="A112" s="221" t="str">
        <v>OUT-101</v>
      </c>
      <c r="B112" s="221" t="str">
        <v>AWS Step Functions</v>
      </c>
      <c r="C112" s="221" t="str">
        <v>Amazon</v>
      </c>
      <c r="D112" s="221" t="str">
        <v>Automatisation des flux</v>
      </c>
      <c r="E112" s="221" t="str">
        <v>Automatisation et exécution d’actions</v>
      </c>
      <c r="F112" s="221" t="str">
        <v>Inconnu</v>
      </c>
      <c r="G112" s="221" t="str">
        <v>Inconnu</v>
      </c>
      <c r="H112" s="221" t="str">
        <v>Inconnu</v>
      </c>
      <c r="I112" s="221" t="str">
        <v>À vérifier</v>
      </c>
      <c r="J112" s="221" t="str">
        <v>Référencé</v>
      </c>
    </row>
    <row r="113" spans="1:10" x14ac:dyDescent="0.35">
      <c r="A113" s="221" t="str">
        <v>OUT-102</v>
      </c>
      <c r="B113" s="221" t="str">
        <v>Amazon DynamoDB</v>
      </c>
      <c r="C113" s="221" t="str">
        <v>Amazon</v>
      </c>
      <c r="D113" s="221" t="str">
        <v>Base de données / Stockage</v>
      </c>
      <c r="E113" s="221" t="str">
        <v>Inconnu</v>
      </c>
      <c r="F113" s="221" t="str">
        <v>Inconnu</v>
      </c>
      <c r="G113" s="221" t="str">
        <v>Inconnu</v>
      </c>
      <c r="H113" s="221" t="str">
        <v>Inconnu</v>
      </c>
      <c r="I113" s="221" t="str">
        <v>À vérifier</v>
      </c>
      <c r="J113" s="221" t="str">
        <v>Référencé</v>
      </c>
    </row>
    <row r="114" spans="1:10" x14ac:dyDescent="0.35">
      <c r="A114" s="221" t="str">
        <v>OUT-103</v>
      </c>
      <c r="B114" s="221" t="str">
        <v>Amazon S3</v>
      </c>
      <c r="C114" s="221" t="str">
        <v>Amazon</v>
      </c>
      <c r="D114" s="221" t="str">
        <v>Gestion documentaire / GED</v>
      </c>
      <c r="E114" s="221" t="str">
        <v>Inconnu</v>
      </c>
      <c r="F114" s="221" t="str">
        <v>Inconnu</v>
      </c>
      <c r="G114" s="221" t="str">
        <v>Inconnu</v>
      </c>
      <c r="H114" s="221" t="str">
        <v>Inconnu</v>
      </c>
      <c r="I114" s="221" t="str">
        <v>À vérifier</v>
      </c>
      <c r="J114" s="221" t="str">
        <v>Référencé</v>
      </c>
    </row>
    <row r="115" spans="1:10" x14ac:dyDescent="0.35">
      <c r="A115" s="221" t="str">
        <v>OUT-104</v>
      </c>
      <c r="B115" s="221" t="str">
        <v>Amazon Chime</v>
      </c>
      <c r="C115" s="221" t="str">
        <v>Amazon</v>
      </c>
      <c r="D115" s="221" t="str">
        <v>Collaboration / Communication</v>
      </c>
      <c r="E115" s="221" t="str">
        <v>Inconnu</v>
      </c>
      <c r="F115" s="221" t="str">
        <v>Inconnu</v>
      </c>
      <c r="G115" s="221" t="str">
        <v>Inconnu</v>
      </c>
      <c r="H115" s="221" t="str">
        <v>Inconnu</v>
      </c>
      <c r="I115" s="221" t="str">
        <v>À vérifier</v>
      </c>
      <c r="J115" s="221" t="str">
        <v>Référencé</v>
      </c>
    </row>
    <row r="116" spans="1:10" x14ac:dyDescent="0.35">
      <c r="A116" s="221" t="str">
        <v>OUT-105</v>
      </c>
      <c r="B116" s="221" t="str">
        <v>Amazon Q Developer</v>
      </c>
      <c r="C116" s="221" t="str">
        <v>Amazon</v>
      </c>
      <c r="D116" s="221" t="str">
        <v>Code / Développement</v>
      </c>
      <c r="E116" s="221" t="str">
        <v>Assistance au développement logiciel</v>
      </c>
      <c r="F116" s="221" t="str">
        <v>Inconnu</v>
      </c>
      <c r="G116" s="221" t="str">
        <v>Inconnu</v>
      </c>
      <c r="H116" s="221" t="str">
        <v>Inconnu</v>
      </c>
      <c r="I116" s="221" t="str">
        <v>À vérifier</v>
      </c>
      <c r="J116" s="221" t="str">
        <v>Référencé</v>
      </c>
    </row>
    <row r="117" spans="1:10" x14ac:dyDescent="0.35">
      <c r="A117" s="221" t="str">
        <v>OUT-106</v>
      </c>
      <c r="B117" s="221" t="str">
        <v>Amazon Kendra</v>
      </c>
      <c r="C117" s="221" t="str">
        <v>Amazon</v>
      </c>
      <c r="D117" s="221" t="str">
        <v>Recherche / RAG</v>
      </c>
      <c r="E117" s="221" t="str">
        <v>Recherche et récupération d’information</v>
      </c>
      <c r="F117" s="221" t="str">
        <v>Inconnu</v>
      </c>
      <c r="G117" s="221" t="str">
        <v>Inconnu</v>
      </c>
      <c r="H117" s="221" t="str">
        <v>Inconnu</v>
      </c>
      <c r="I117" s="221" t="str">
        <v>À vérifier</v>
      </c>
      <c r="J117" s="221" t="str">
        <v>Référencé</v>
      </c>
    </row>
    <row r="118" spans="1:10" x14ac:dyDescent="0.35">
      <c r="A118" s="221" t="str">
        <v>OUT-107</v>
      </c>
      <c r="B118" s="221" t="str">
        <v>Amazon QuickSight Q</v>
      </c>
      <c r="C118" s="221" t="str">
        <v>Amazon</v>
      </c>
      <c r="D118" s="221" t="str">
        <v>Analyse de données / BI</v>
      </c>
      <c r="E118" s="221" t="str">
        <v>Analyse et visualisation de données</v>
      </c>
      <c r="F118" s="221" t="str">
        <v>Inconnu</v>
      </c>
      <c r="G118" s="221" t="str">
        <v>Inconnu</v>
      </c>
      <c r="H118" s="221" t="str">
        <v>Inconnu</v>
      </c>
      <c r="I118" s="221" t="str">
        <v>À vérifier</v>
      </c>
      <c r="J118" s="221" t="str">
        <v>Référencé</v>
      </c>
    </row>
    <row r="119" spans="1:10" x14ac:dyDescent="0.35">
      <c r="A119" s="221" t="str">
        <v>OUT-108</v>
      </c>
      <c r="B119" s="221" t="str">
        <v>Amazon Bedrock Guardrails</v>
      </c>
      <c r="C119" s="221" t="str">
        <v>Amazon</v>
      </c>
      <c r="D119" s="221" t="str">
        <v>Sécurité / Gouvernance IA</v>
      </c>
      <c r="E119" s="221" t="str">
        <v>Inconnu</v>
      </c>
      <c r="F119" s="221" t="str">
        <v>Inconnu</v>
      </c>
      <c r="G119" s="221" t="str">
        <v>Inconnu</v>
      </c>
      <c r="H119" s="221" t="str">
        <v>Inconnu</v>
      </c>
      <c r="I119" s="221" t="str">
        <v>À vérifier</v>
      </c>
      <c r="J119" s="221" t="str">
        <v>Référencé</v>
      </c>
    </row>
    <row r="120" spans="1:10" x14ac:dyDescent="0.35">
      <c r="A120" s="221" t="str">
        <v>OUT-109</v>
      </c>
      <c r="B120" s="221" t="str">
        <v>Amazon Transcribe</v>
      </c>
      <c r="C120" s="221" t="str">
        <v>Amazon</v>
      </c>
      <c r="D120" s="221" t="str">
        <v>Transcription / Réunions</v>
      </c>
      <c r="E120" s="221" t="str">
        <v>Transcription et traitement de l’audio</v>
      </c>
      <c r="F120" s="221" t="str">
        <v>Inconnu</v>
      </c>
      <c r="G120" s="221" t="str">
        <v>Inconnu</v>
      </c>
      <c r="H120" s="221" t="str">
        <v>Inconnu</v>
      </c>
      <c r="I120" s="221" t="str">
        <v>À vérifier</v>
      </c>
      <c r="J120" s="221" t="str">
        <v>Référencé</v>
      </c>
    </row>
    <row r="121" spans="1:10" x14ac:dyDescent="0.35">
      <c r="A121" s="221" t="str">
        <v>OUT-110</v>
      </c>
      <c r="B121" s="221" t="str">
        <v>watsonx.ai</v>
      </c>
      <c r="C121" s="221" t="str">
        <v>IBM</v>
      </c>
      <c r="D121" s="221" t="str">
        <v>Plateforme de développement d’agents</v>
      </c>
      <c r="E121" s="221" t="str">
        <v>Création et orchestration d’agents</v>
      </c>
      <c r="F121" s="221" t="str">
        <v>Inconnu</v>
      </c>
      <c r="G121" s="221" t="str">
        <v>Inconnu</v>
      </c>
      <c r="H121" s="221" t="str">
        <v>Inconnu</v>
      </c>
      <c r="I121" s="221" t="str">
        <v>À vérifier</v>
      </c>
      <c r="J121" s="221" t="str">
        <v>Référencé</v>
      </c>
    </row>
    <row r="122" spans="1:10" x14ac:dyDescent="0.35">
      <c r="A122" s="221" t="str">
        <v>OUT-111</v>
      </c>
      <c r="B122" s="221" t="str">
        <v>watsonx.data</v>
      </c>
      <c r="C122" s="221" t="str">
        <v>IBM</v>
      </c>
      <c r="D122" s="221" t="str">
        <v>Base de données / Stockage</v>
      </c>
      <c r="E122" s="221" t="str">
        <v>Inconnu</v>
      </c>
      <c r="F122" s="221" t="str">
        <v>Inconnu</v>
      </c>
      <c r="G122" s="221" t="str">
        <v>Inconnu</v>
      </c>
      <c r="H122" s="221" t="str">
        <v>Inconnu</v>
      </c>
      <c r="I122" s="221" t="str">
        <v>À vérifier</v>
      </c>
      <c r="J122" s="221" t="str">
        <v>Référencé</v>
      </c>
    </row>
    <row r="123" spans="1:10" x14ac:dyDescent="0.35">
      <c r="A123" s="221" t="str">
        <v>OUT-112</v>
      </c>
      <c r="B123" s="221" t="str">
        <v>watsonx.governance</v>
      </c>
      <c r="C123" s="221" t="str">
        <v>IBM</v>
      </c>
      <c r="D123" s="221" t="str">
        <v>Sécurité / Gouvernance IA</v>
      </c>
      <c r="E123" s="221" t="str">
        <v>Inconnu</v>
      </c>
      <c r="F123" s="221" t="str">
        <v>Inconnu</v>
      </c>
      <c r="G123" s="221" t="str">
        <v>Inconnu</v>
      </c>
      <c r="H123" s="221" t="str">
        <v>Inconnu</v>
      </c>
      <c r="I123" s="221" t="str">
        <v>À vérifier</v>
      </c>
      <c r="J123" s="221" t="str">
        <v>Référencé</v>
      </c>
    </row>
    <row r="124" spans="1:10" x14ac:dyDescent="0.35">
      <c r="A124" s="221" t="str">
        <v>OUT-113</v>
      </c>
      <c r="B124" s="221" t="str">
        <v>watsonx Orchestrate</v>
      </c>
      <c r="C124" s="221" t="str">
        <v>IBM</v>
      </c>
      <c r="D124" s="221" t="str">
        <v>Agent Builder no-code</v>
      </c>
      <c r="E124" s="221" t="str">
        <v>Création et orchestration d’agents ; Automatisation et exécution d’actions</v>
      </c>
      <c r="F124" s="221" t="str">
        <v>Inconnu</v>
      </c>
      <c r="G124" s="221" t="str">
        <v>Inconnu</v>
      </c>
      <c r="H124" s="221" t="str">
        <v>Inconnu</v>
      </c>
      <c r="I124" s="221" t="str">
        <v>À vérifier</v>
      </c>
      <c r="J124" s="221" t="str">
        <v>Référencé</v>
      </c>
    </row>
    <row r="125" spans="1:10" x14ac:dyDescent="0.35">
      <c r="A125" s="221" t="str">
        <v>OUT-114</v>
      </c>
      <c r="B125" s="221" t="str">
        <v>watsonx Assistant</v>
      </c>
      <c r="C125" s="221" t="str">
        <v>IBM</v>
      </c>
      <c r="D125" s="221" t="str">
        <v>Agent Builder no-code</v>
      </c>
      <c r="E125" s="221" t="str">
        <v>Création et orchestration d’agents</v>
      </c>
      <c r="F125" s="221" t="str">
        <v>Inconnu</v>
      </c>
      <c r="G125" s="221" t="str">
        <v>Inconnu</v>
      </c>
      <c r="H125" s="221" t="str">
        <v>Inconnu</v>
      </c>
      <c r="I125" s="221" t="str">
        <v>À vérifier</v>
      </c>
      <c r="J125" s="221" t="str">
        <v>Référencé</v>
      </c>
    </row>
    <row r="126" spans="1:10" x14ac:dyDescent="0.35">
      <c r="A126" s="221" t="str">
        <v>OUT-115</v>
      </c>
      <c r="B126" s="221" t="str">
        <v>IBM Db2</v>
      </c>
      <c r="C126" s="221" t="str">
        <v>IBM</v>
      </c>
      <c r="D126" s="221" t="str">
        <v>Base de données / Stockage</v>
      </c>
      <c r="E126" s="221" t="str">
        <v>Inconnu</v>
      </c>
      <c r="F126" s="221" t="str">
        <v>Inconnu</v>
      </c>
      <c r="G126" s="221" t="str">
        <v>Inconnu</v>
      </c>
      <c r="H126" s="221" t="str">
        <v>Inconnu</v>
      </c>
      <c r="I126" s="221" t="str">
        <v>À vérifier</v>
      </c>
      <c r="J126" s="221" t="str">
        <v>Référencé</v>
      </c>
    </row>
    <row r="127" spans="1:10" x14ac:dyDescent="0.35">
      <c r="A127" s="221" t="str">
        <v>OUT-116</v>
      </c>
      <c r="B127" s="221" t="str">
        <v>IBM FileNet</v>
      </c>
      <c r="C127" s="221" t="str">
        <v>IBM</v>
      </c>
      <c r="D127" s="221" t="str">
        <v>Gestion documentaire / GED</v>
      </c>
      <c r="E127" s="221" t="str">
        <v>Inconnu</v>
      </c>
      <c r="F127" s="221" t="str">
        <v>Inconnu</v>
      </c>
      <c r="G127" s="221" t="str">
        <v>Inconnu</v>
      </c>
      <c r="H127" s="221" t="str">
        <v>Inconnu</v>
      </c>
      <c r="I127" s="221" t="str">
        <v>À vérifier</v>
      </c>
      <c r="J127" s="221" t="str">
        <v>Référencé</v>
      </c>
    </row>
    <row r="128" spans="1:10" x14ac:dyDescent="0.35">
      <c r="A128" s="221" t="str">
        <v>OUT-117</v>
      </c>
      <c r="B128" s="221" t="str">
        <v>watsonx Code Assistant</v>
      </c>
      <c r="C128" s="221" t="str">
        <v>IBM</v>
      </c>
      <c r="D128" s="221" t="str">
        <v>Code / Développement</v>
      </c>
      <c r="E128" s="221" t="str">
        <v>Assistance au développement logiciel</v>
      </c>
      <c r="F128" s="221" t="str">
        <v>Inconnu</v>
      </c>
      <c r="G128" s="221" t="str">
        <v>Inconnu</v>
      </c>
      <c r="H128" s="221" t="str">
        <v>Inconnu</v>
      </c>
      <c r="I128" s="221" t="str">
        <v>À vérifier</v>
      </c>
      <c r="J128" s="221" t="str">
        <v>Référencé</v>
      </c>
    </row>
    <row r="129" spans="1:10" x14ac:dyDescent="0.35">
      <c r="A129" s="221" t="str">
        <v>OUT-118</v>
      </c>
      <c r="B129" s="221" t="str">
        <v>watsonx Discovery</v>
      </c>
      <c r="C129" s="221" t="str">
        <v>IBM</v>
      </c>
      <c r="D129" s="221" t="str">
        <v>Recherche / RAG</v>
      </c>
      <c r="E129" s="221" t="str">
        <v>Recherche et récupération d’information</v>
      </c>
      <c r="F129" s="221" t="str">
        <v>Inconnu</v>
      </c>
      <c r="G129" s="221" t="str">
        <v>Inconnu</v>
      </c>
      <c r="H129" s="221" t="str">
        <v>Inconnu</v>
      </c>
      <c r="I129" s="221" t="str">
        <v>À vérifier</v>
      </c>
      <c r="J129" s="221" t="str">
        <v>Référencé</v>
      </c>
    </row>
    <row r="130" spans="1:10" x14ac:dyDescent="0.35">
      <c r="A130" s="221" t="str">
        <v>OUT-119</v>
      </c>
      <c r="B130" s="221" t="str">
        <v>watsonx Speech to Text</v>
      </c>
      <c r="C130" s="221" t="str">
        <v>IBM</v>
      </c>
      <c r="D130" s="221" t="str">
        <v>Transcription / Réunions</v>
      </c>
      <c r="E130" s="221" t="str">
        <v>Transcription et traitement de l’audio</v>
      </c>
      <c r="F130" s="221" t="str">
        <v>Inconnu</v>
      </c>
      <c r="G130" s="221" t="str">
        <v>Inconnu</v>
      </c>
      <c r="H130" s="221" t="str">
        <v>Inconnu</v>
      </c>
      <c r="I130" s="221" t="str">
        <v>À vérifier</v>
      </c>
      <c r="J130" s="221" t="str">
        <v>Référencé</v>
      </c>
    </row>
    <row r="131" spans="1:10" x14ac:dyDescent="0.35">
      <c r="A131" s="221" t="str">
        <v>OUT-120</v>
      </c>
      <c r="B131" s="221" t="str">
        <v>Meta AI</v>
      </c>
      <c r="C131" s="221" t="str">
        <v>Meta</v>
      </c>
      <c r="D131" s="221" t="str">
        <v>Chat IA</v>
      </c>
      <c r="E131" s="221" t="str">
        <v>Conversation et questions-réponses</v>
      </c>
      <c r="F131" s="221" t="str">
        <v>Inconnu</v>
      </c>
      <c r="G131" s="221" t="str">
        <v>Inconnu</v>
      </c>
      <c r="H131" s="221" t="str">
        <v>Inconnu</v>
      </c>
      <c r="I131" s="221" t="str">
        <v>À vérifier</v>
      </c>
      <c r="J131" s="221" t="str">
        <v>Référencé</v>
      </c>
    </row>
    <row r="132" spans="1:10" x14ac:dyDescent="0.35">
      <c r="A132" s="221" t="str">
        <v>OUT-121</v>
      </c>
      <c r="B132" s="221" t="str">
        <v>Llama Stack</v>
      </c>
      <c r="C132" s="221" t="str">
        <v>Meta</v>
      </c>
      <c r="D132" s="221" t="str">
        <v>Plateforme de développement d’agents</v>
      </c>
      <c r="E132" s="221" t="str">
        <v>Création et orchestration d’agents</v>
      </c>
      <c r="F132" s="221" t="str">
        <v>Inconnu</v>
      </c>
      <c r="G132" s="221" t="str">
        <v>Inconnu</v>
      </c>
      <c r="H132" s="221" t="str">
        <v>Inconnu</v>
      </c>
      <c r="I132" s="221" t="str">
        <v>À vérifier</v>
      </c>
      <c r="J132" s="221" t="str">
        <v>Référencé</v>
      </c>
    </row>
    <row r="133" spans="1:10" x14ac:dyDescent="0.35">
      <c r="A133" s="221" t="str">
        <v>OUT-122</v>
      </c>
      <c r="B133" s="221" t="str">
        <v>Le Chat</v>
      </c>
      <c r="C133" s="221" t="str">
        <v>Mistral AI</v>
      </c>
      <c r="D133" s="221" t="str">
        <v>Chat IA</v>
      </c>
      <c r="E133" s="221" t="str">
        <v>Conversation et questions-réponses</v>
      </c>
      <c r="F133" s="221" t="str">
        <v>Inconnu</v>
      </c>
      <c r="G133" s="221" t="str">
        <v>Inconnu</v>
      </c>
      <c r="H133" s="221" t="str">
        <v>Inconnu</v>
      </c>
      <c r="I133" s="221" t="str">
        <v>À vérifier</v>
      </c>
      <c r="J133" s="221" t="str">
        <v>Référencé</v>
      </c>
    </row>
    <row r="134" spans="1:10" x14ac:dyDescent="0.35">
      <c r="A134" s="221" t="str">
        <v>OUT-123</v>
      </c>
      <c r="B134" s="221" t="str">
        <v>La Plateforme / API</v>
      </c>
      <c r="C134" s="221" t="str">
        <v>Mistral AI</v>
      </c>
      <c r="D134" s="221" t="str">
        <v>Plateforme de développement d’agents</v>
      </c>
      <c r="E134" s="221" t="str">
        <v>Création et orchestration d’agents</v>
      </c>
      <c r="F134" s="221" t="str">
        <v>Inconnu</v>
      </c>
      <c r="G134" s="221" t="str">
        <v>Inconnu</v>
      </c>
      <c r="H134" s="221" t="str">
        <v>Inconnu</v>
      </c>
      <c r="I134" s="221" t="str">
        <v>À vérifier</v>
      </c>
      <c r="J134" s="221" t="str">
        <v>Référencé</v>
      </c>
    </row>
    <row r="135" spans="1:10" x14ac:dyDescent="0.35">
      <c r="A135" s="221" t="str">
        <v>OUT-124</v>
      </c>
      <c r="B135" s="221" t="str">
        <v>Coral</v>
      </c>
      <c r="C135" s="221" t="str">
        <v>Cohere</v>
      </c>
      <c r="D135" s="221" t="str">
        <v>Chat IA</v>
      </c>
      <c r="E135" s="221" t="str">
        <v>Conversation et questions-réponses</v>
      </c>
      <c r="F135" s="221" t="str">
        <v>Inconnu</v>
      </c>
      <c r="G135" s="221" t="str">
        <v>Inconnu</v>
      </c>
      <c r="H135" s="221" t="str">
        <v>Inconnu</v>
      </c>
      <c r="I135" s="221" t="str">
        <v>À vérifier</v>
      </c>
      <c r="J135" s="221" t="str">
        <v>Référencé</v>
      </c>
    </row>
    <row r="136" spans="1:10" x14ac:dyDescent="0.35">
      <c r="A136" s="221" t="str">
        <v>OUT-125</v>
      </c>
      <c r="B136" s="221" t="str">
        <v>Command API</v>
      </c>
      <c r="C136" s="221" t="str">
        <v>Cohere</v>
      </c>
      <c r="D136" s="221" t="str">
        <v>Plateforme de développement d’agents</v>
      </c>
      <c r="E136" s="221" t="str">
        <v>Création et orchestration d’agents</v>
      </c>
      <c r="F136" s="221" t="str">
        <v>Inconnu</v>
      </c>
      <c r="G136" s="221" t="str">
        <v>Inconnu</v>
      </c>
      <c r="H136" s="221" t="str">
        <v>Inconnu</v>
      </c>
      <c r="I136" s="221" t="str">
        <v>À vérifier</v>
      </c>
      <c r="J136" s="221" t="str">
        <v>Référencé</v>
      </c>
    </row>
    <row r="137" spans="1:10" x14ac:dyDescent="0.35">
      <c r="A137" s="221" t="str">
        <v>OUT-126</v>
      </c>
      <c r="B137" s="221" t="str">
        <v>Cohere Rerank</v>
      </c>
      <c r="C137" s="221" t="str">
        <v>Cohere</v>
      </c>
      <c r="D137" s="221" t="str">
        <v>Recherche / RAG</v>
      </c>
      <c r="E137" s="221" t="str">
        <v>Recherche et récupération d’information</v>
      </c>
      <c r="F137" s="221" t="str">
        <v>Inconnu</v>
      </c>
      <c r="G137" s="221" t="str">
        <v>Inconnu</v>
      </c>
      <c r="H137" s="221" t="str">
        <v>Inconnu</v>
      </c>
      <c r="I137" s="221" t="str">
        <v>À vérifier</v>
      </c>
      <c r="J137" s="221" t="str">
        <v>Référencé</v>
      </c>
    </row>
    <row r="138" spans="1:10" x14ac:dyDescent="0.35">
      <c r="A138" s="221" t="str">
        <v>OUT-127</v>
      </c>
      <c r="B138" s="221" t="str">
        <v>HuggingChat</v>
      </c>
      <c r="C138" s="221" t="str">
        <v>Hugging Face</v>
      </c>
      <c r="D138" s="221" t="str">
        <v>Chat IA</v>
      </c>
      <c r="E138" s="221" t="str">
        <v>Conversation et questions-réponses</v>
      </c>
      <c r="F138" s="221" t="str">
        <v>Inconnu</v>
      </c>
      <c r="G138" s="221" t="str">
        <v>Inconnu</v>
      </c>
      <c r="H138" s="221" t="str">
        <v>Inconnu</v>
      </c>
      <c r="I138" s="221" t="str">
        <v>À vérifier</v>
      </c>
      <c r="J138" s="221" t="str">
        <v>Référencé</v>
      </c>
    </row>
    <row r="139" spans="1:10" x14ac:dyDescent="0.35">
      <c r="A139" s="221" t="str">
        <v>OUT-128</v>
      </c>
      <c r="B139" s="221" t="str">
        <v>Hugging Face Hub</v>
      </c>
      <c r="C139" s="221" t="str">
        <v>Hugging Face</v>
      </c>
      <c r="D139" s="221" t="str">
        <v>Gestion documentaire / GED</v>
      </c>
      <c r="E139" s="221" t="str">
        <v>Inconnu</v>
      </c>
      <c r="F139" s="221" t="str">
        <v>Inconnu</v>
      </c>
      <c r="G139" s="221" t="str">
        <v>Inconnu</v>
      </c>
      <c r="H139" s="221" t="str">
        <v>Inconnu</v>
      </c>
      <c r="I139" s="221" t="str">
        <v>À vérifier</v>
      </c>
      <c r="J139" s="221" t="str">
        <v>Référencé</v>
      </c>
    </row>
    <row r="140" spans="1:10" x14ac:dyDescent="0.35">
      <c r="A140" s="221" t="str">
        <v>OUT-129</v>
      </c>
      <c r="B140" s="221" t="str">
        <v>Hugging Face Spaces</v>
      </c>
      <c r="C140" s="221" t="str">
        <v>Hugging Face</v>
      </c>
      <c r="D140" s="221" t="str">
        <v>Agent Builder no-code</v>
      </c>
      <c r="E140" s="221" t="str">
        <v>Création et orchestration d’agents</v>
      </c>
      <c r="F140" s="221" t="str">
        <v>Inconnu</v>
      </c>
      <c r="G140" s="221" t="str">
        <v>Inconnu</v>
      </c>
      <c r="H140" s="221" t="str">
        <v>Inconnu</v>
      </c>
      <c r="I140" s="221" t="str">
        <v>À vérifier</v>
      </c>
      <c r="J140" s="221" t="str">
        <v>Référencé</v>
      </c>
    </row>
    <row r="141" spans="1:10" x14ac:dyDescent="0.35">
      <c r="A141" s="221" t="str">
        <v>OUT-130</v>
      </c>
      <c r="B141" s="221" t="str">
        <v>Hugging Face Transformers / Inference API</v>
      </c>
      <c r="C141" s="221" t="str">
        <v>Hugging Face</v>
      </c>
      <c r="D141" s="221" t="str">
        <v>Plateforme de développement d’agents</v>
      </c>
      <c r="E141" s="221" t="str">
        <v>Création et orchestration d’agents</v>
      </c>
      <c r="F141" s="221" t="str">
        <v>Inconnu</v>
      </c>
      <c r="G141" s="221" t="str">
        <v>Inconnu</v>
      </c>
      <c r="H141" s="221" t="str">
        <v>Inconnu</v>
      </c>
      <c r="I141" s="221" t="str">
        <v>À vérifier</v>
      </c>
      <c r="J141" s="221" t="str">
        <v>Référencé</v>
      </c>
    </row>
    <row r="142" spans="1:10" x14ac:dyDescent="0.35">
      <c r="A142" s="221" t="str">
        <v>OUT-131</v>
      </c>
      <c r="B142" s="221" t="str">
        <v>Hugging Face Inference Endpoints</v>
      </c>
      <c r="C142" s="221" t="str">
        <v>Hugging Face</v>
      </c>
      <c r="D142" s="221" t="str">
        <v>Recherche / RAG</v>
      </c>
      <c r="E142" s="221" t="str">
        <v>Recherche et récupération d’information</v>
      </c>
      <c r="F142" s="221" t="str">
        <v>Inconnu</v>
      </c>
      <c r="G142" s="221" t="str">
        <v>Inconnu</v>
      </c>
      <c r="H142" s="221" t="str">
        <v>Inconnu</v>
      </c>
      <c r="I142" s="221" t="str">
        <v>À vérifier</v>
      </c>
      <c r="J142" s="221" t="str">
        <v>Référencé</v>
      </c>
    </row>
    <row r="143" spans="1:10" x14ac:dyDescent="0.35">
      <c r="A143" s="221" t="str">
        <v>OUT-132</v>
      </c>
      <c r="B143" s="221" t="str">
        <v>n8n</v>
      </c>
      <c r="C143" s="221" t="str">
        <v>n8n</v>
      </c>
      <c r="D143" s="221" t="str">
        <v>Automatisation des flux</v>
      </c>
      <c r="E143" s="221" t="str">
        <v>Automatisation et exécution d’actions</v>
      </c>
      <c r="F143" s="221" t="str">
        <v>Inconnu</v>
      </c>
      <c r="G143" s="221" t="str">
        <v>Inconnu</v>
      </c>
      <c r="H143" s="221" t="str">
        <v>Inconnu</v>
      </c>
      <c r="I143" s="221" t="str">
        <v>À vérifier</v>
      </c>
      <c r="J143" s="221" t="str">
        <v>Référencé</v>
      </c>
    </row>
    <row r="144" spans="1:10" x14ac:dyDescent="0.35">
      <c r="A144" s="221" t="str">
        <v>OUT-133</v>
      </c>
      <c r="B144" s="221" t="str">
        <v>Make</v>
      </c>
      <c r="C144" s="221" t="str">
        <v>Make</v>
      </c>
      <c r="D144" s="221" t="str">
        <v>Automatisation des flux</v>
      </c>
      <c r="E144" s="221" t="str">
        <v>Automatisation et exécution d’actions</v>
      </c>
      <c r="F144" s="221" t="str">
        <v>Inconnu</v>
      </c>
      <c r="G144" s="221" t="str">
        <v>Inconnu</v>
      </c>
      <c r="H144" s="221" t="str">
        <v>Inconnu</v>
      </c>
      <c r="I144" s="221" t="str">
        <v>À vérifier</v>
      </c>
      <c r="J144" s="221" t="str">
        <v>Référencé</v>
      </c>
    </row>
    <row r="145" spans="1:10" x14ac:dyDescent="0.35">
      <c r="A145" s="221" t="str">
        <v>OUT-134</v>
      </c>
      <c r="B145" s="221" t="str">
        <v>Zapier</v>
      </c>
      <c r="C145" s="221" t="str">
        <v>Zapier</v>
      </c>
      <c r="D145" s="221" t="str">
        <v>Automatisation des flux</v>
      </c>
      <c r="E145" s="221" t="str">
        <v>Automatisation et exécution d’actions</v>
      </c>
      <c r="F145" s="221" t="str">
        <v>Inconnu</v>
      </c>
      <c r="G145" s="221" t="str">
        <v>Inconnu</v>
      </c>
      <c r="H145" s="221" t="str">
        <v>Inconnu</v>
      </c>
      <c r="I145" s="221" t="str">
        <v>À vérifier</v>
      </c>
      <c r="J145" s="221" t="str">
        <v>Référencé</v>
      </c>
    </row>
    <row r="146" spans="1:10" x14ac:dyDescent="0.35">
      <c r="A146" s="221" t="str">
        <v>OUT-135</v>
      </c>
      <c r="B146" s="221" t="str">
        <v>Zapier Chatbots</v>
      </c>
      <c r="C146" s="221" t="str">
        <v>Zapier</v>
      </c>
      <c r="D146" s="221" t="str">
        <v>Agent Builder no-code</v>
      </c>
      <c r="E146" s="221" t="str">
        <v>Création et orchestration d’agents</v>
      </c>
      <c r="F146" s="221" t="str">
        <v>Inconnu</v>
      </c>
      <c r="G146" s="221" t="str">
        <v>Inconnu</v>
      </c>
      <c r="H146" s="221" t="str">
        <v>Inconnu</v>
      </c>
      <c r="I146" s="221" t="str">
        <v>À vérifier</v>
      </c>
      <c r="J146" s="221" t="str">
        <v>Référencé</v>
      </c>
    </row>
    <row r="147" spans="1:10" x14ac:dyDescent="0.35">
      <c r="A147" s="221" t="str">
        <v>OUT-136</v>
      </c>
      <c r="B147" s="221" t="str">
        <v>Zapier Tables</v>
      </c>
      <c r="C147" s="221" t="str">
        <v>Zapier</v>
      </c>
      <c r="D147" s="221" t="str">
        <v>Base de données / Stockage</v>
      </c>
      <c r="E147" s="221" t="str">
        <v>Inconnu</v>
      </c>
      <c r="F147" s="221" t="str">
        <v>Inconnu</v>
      </c>
      <c r="G147" s="221" t="str">
        <v>Inconnu</v>
      </c>
      <c r="H147" s="221" t="str">
        <v>Inconnu</v>
      </c>
      <c r="I147" s="221" t="str">
        <v>À vérifier</v>
      </c>
      <c r="J147" s="221" t="str">
        <v>Référencé</v>
      </c>
    </row>
    <row r="148" spans="1:10" x14ac:dyDescent="0.35">
      <c r="A148" s="221" t="str">
        <v>OUT-137</v>
      </c>
      <c r="B148" s="221" t="str">
        <v>LangChain</v>
      </c>
      <c r="C148" s="221" t="str">
        <v>LangChain</v>
      </c>
      <c r="D148" s="221" t="str">
        <v>Plateforme de développement d’agents</v>
      </c>
      <c r="E148" s="221" t="str">
        <v>Création et orchestration d’agents</v>
      </c>
      <c r="F148" s="221" t="str">
        <v>Inconnu</v>
      </c>
      <c r="G148" s="221" t="str">
        <v>Inconnu</v>
      </c>
      <c r="H148" s="221" t="str">
        <v>Inconnu</v>
      </c>
      <c r="I148" s="221" t="str">
        <v>À vérifier</v>
      </c>
      <c r="J148" s="221" t="str">
        <v>Référencé</v>
      </c>
    </row>
    <row r="149" spans="1:10" x14ac:dyDescent="0.35">
      <c r="A149" s="222" t="str">
        <v>OUT-138</v>
      </c>
      <c r="B149" s="222" t="str">
        <v>LangGraph</v>
      </c>
      <c r="C149" s="222" t="str">
        <v>LangChain</v>
      </c>
      <c r="D149" s="222" t="str">
        <v>Plateforme de développement d’agents</v>
      </c>
      <c r="E149" s="222" t="str">
        <v>Création et orchestration d’agents</v>
      </c>
      <c r="F149" s="222" t="str">
        <v>Inconnu</v>
      </c>
      <c r="G149" s="222" t="str">
        <v>Inconnu</v>
      </c>
      <c r="H149" s="222" t="str">
        <v>Inconnu</v>
      </c>
      <c r="I149" s="222" t="str">
        <v>À vérifier</v>
      </c>
      <c r="J149" s="222" t="str">
        <v>Référencé</v>
      </c>
    </row>
    <row r="150" spans="1:10" x14ac:dyDescent="0.35">
      <c r="A150" s="85"/>
      <c r="B150" s="85"/>
      <c r="C150" s="85"/>
      <c r="D150" s="85"/>
      <c r="E150" s="85"/>
      <c r="F150" s="85"/>
      <c r="G150" s="85"/>
      <c r="H150" s="85"/>
      <c r="I150" s="85"/>
      <c r="J150" s="85"/>
    </row>
  </sheetData>
  <mergeCells count="17">
    <mergeCell ref="A8:J8"/>
    <mergeCell ref="A10:J10"/>
    <mergeCell ref="A5:B5"/>
    <mergeCell ref="C5:D5"/>
    <mergeCell ref="E5:F5"/>
    <mergeCell ref="G5:H5"/>
    <mergeCell ref="I5:J5"/>
    <mergeCell ref="A7:J7"/>
    <mergeCell ref="A1:J1"/>
    <mergeCell ref="A2:F2"/>
    <mergeCell ref="G2:J2"/>
    <mergeCell ref="A3:J3"/>
    <mergeCell ref="A4:B4"/>
    <mergeCell ref="C4:D4"/>
    <mergeCell ref="E4:F4"/>
    <mergeCell ref="G4:H4"/>
    <mergeCell ref="I4:J4"/>
  </mergeCells>
  <dataValidations count="5">
    <dataValidation type="list" allowBlank="1" showInputMessage="1" showErrorMessage="1" sqref="A5" xr:uid="{17A9E3CD-3024-45CB-BD94-A5F1EC1918D4}">
      <formula1>Explorer_Capacites</formula1>
    </dataValidation>
    <dataValidation type="list" allowBlank="1" showInputMessage="1" showErrorMessage="1" sqref="C5" xr:uid="{3D80ED37-7B09-42CE-A8B2-6DB591912A6A}">
      <formula1>Explorer_Types</formula1>
    </dataValidation>
    <dataValidation type="list" allowBlank="1" showInputMessage="1" showErrorMessage="1" sqref="E5" xr:uid="{3B5C6A95-040A-4D1A-80BD-CE16C82162A7}">
      <formula1>Explorer_Niveaux</formula1>
    </dataValidation>
    <dataValidation type="list" allowBlank="1" showInputMessage="1" showErrorMessage="1" sqref="G5" xr:uid="{01F63B77-16CB-41BC-94F0-EB60F39E4D7C}">
      <formula1>Explorer_Editeurs</formula1>
    </dataValidation>
    <dataValidation type="list" allowBlank="1" showInputMessage="1" showErrorMessage="1" sqref="I5" xr:uid="{66C3BF88-5FA6-4A72-83CF-D58826F984BF}">
      <formula1>Explorer_Couts</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76076-3361-4EBD-91A5-5AFB05D7C7B4}">
  <sheetPr>
    <tabColor rgb="FFB77CFF"/>
  </sheetPr>
  <dimension ref="A1:E35"/>
  <sheetViews>
    <sheetView showGridLines="0" topLeftCell="A24" workbookViewId="0">
      <selection activeCell="A31" sqref="A31:E31"/>
    </sheetView>
  </sheetViews>
  <sheetFormatPr baseColWidth="10" defaultRowHeight="14.5" x14ac:dyDescent="0.35"/>
  <cols>
    <col min="1" max="1" width="14.90625" customWidth="1"/>
    <col min="2" max="2" width="17.26953125" customWidth="1"/>
    <col min="3" max="3" width="31.81640625" customWidth="1"/>
    <col min="4" max="4" width="40" customWidth="1"/>
    <col min="5" max="5" width="13.08984375" customWidth="1"/>
  </cols>
  <sheetData>
    <row r="1" spans="1:5" ht="48" customHeight="1" x14ac:dyDescent="0.35">
      <c r="A1" s="104" t="s">
        <v>2242</v>
      </c>
      <c r="B1" s="142"/>
      <c r="C1" s="142"/>
      <c r="D1" s="142"/>
      <c r="E1" s="142"/>
    </row>
    <row r="2" spans="1:5" x14ac:dyDescent="0.35">
      <c r="A2" s="137" t="s">
        <v>2243</v>
      </c>
      <c r="B2" s="120"/>
      <c r="C2" s="120"/>
      <c r="D2" s="120"/>
      <c r="E2" s="120"/>
    </row>
    <row r="3" spans="1:5" x14ac:dyDescent="0.35">
      <c r="A3" s="225" t="s">
        <v>2244</v>
      </c>
      <c r="B3" s="136"/>
      <c r="C3" s="136"/>
      <c r="D3" s="136"/>
      <c r="E3" s="136"/>
    </row>
    <row r="4" spans="1:5" x14ac:dyDescent="0.35">
      <c r="A4" s="85"/>
      <c r="B4" s="85"/>
      <c r="C4" s="85"/>
      <c r="D4" s="85"/>
      <c r="E4" s="85"/>
    </row>
    <row r="5" spans="1:5" x14ac:dyDescent="0.35">
      <c r="A5" s="213" t="s">
        <v>2245</v>
      </c>
      <c r="B5" s="212"/>
      <c r="C5" s="212"/>
      <c r="D5" s="212"/>
      <c r="E5" s="212"/>
    </row>
    <row r="6" spans="1:5" x14ac:dyDescent="0.35">
      <c r="A6" s="217" t="s">
        <v>1398</v>
      </c>
      <c r="B6" s="216"/>
      <c r="C6" s="216"/>
      <c r="D6" s="216"/>
      <c r="E6" s="216"/>
    </row>
    <row r="7" spans="1:5" x14ac:dyDescent="0.35">
      <c r="A7" s="85"/>
      <c r="B7" s="85"/>
      <c r="C7" s="85"/>
      <c r="D7" s="85"/>
      <c r="E7" s="85"/>
    </row>
    <row r="8" spans="1:5" x14ac:dyDescent="0.35">
      <c r="A8" s="219" t="str">
        <f>"RADAR — "&amp;$A$6&amp;"  •  19 écosystèmes comparés"</f>
        <v>RADAR — Chat IA  •  19 écosystèmes comparés</v>
      </c>
      <c r="B8" s="120"/>
      <c r="C8" s="120"/>
      <c r="D8" s="120"/>
      <c r="E8" s="120"/>
    </row>
    <row r="9" spans="1:5" ht="43.5" x14ac:dyDescent="0.35">
      <c r="A9" s="220" t="s">
        <v>2148</v>
      </c>
      <c r="B9" s="220" t="s">
        <v>2162</v>
      </c>
      <c r="C9" s="220" t="s">
        <v>2163</v>
      </c>
      <c r="D9" s="220" t="s">
        <v>2164</v>
      </c>
      <c r="E9" s="220" t="s">
        <v>2152</v>
      </c>
    </row>
    <row r="10" spans="1:5" ht="29" x14ac:dyDescent="0.35">
      <c r="A10" s="221" t="str" cm="1">
        <f t="array" ref="A10:E28">_xlfn.LET(_xlpm.selectedNeed,$A$6,_xlpm.data,TableauComparaisonSynthese[[Écosystème]:[Confiance]],_xlpm.needColumn,TableauComparaisonSynthese[Besoin],IFERROR(_xlfn._xlws.FILTER(_xlpm.data,_xlpm.needColumn=_xlpm.selectedNeed),"Aucun résultat"))</f>
        <v>Microsoft</v>
      </c>
      <c r="B10" s="221" t="str">
        <v>Solution(s) référencée(s)</v>
      </c>
      <c r="C10" s="221" t="str">
        <v>OUT-001 Copilot Chat</v>
      </c>
      <c r="D10" s="221" t="str">
        <v>—</v>
      </c>
      <c r="E10" s="221" t="str">
        <v>Référencé</v>
      </c>
    </row>
    <row r="11" spans="1:5" ht="29" x14ac:dyDescent="0.35">
      <c r="A11" s="221" t="str">
        <v>Anthropic</v>
      </c>
      <c r="B11" s="221" t="str">
        <v>Solution(s) référencée(s)</v>
      </c>
      <c r="C11" s="221" t="str">
        <v>OUT-036 Claude</v>
      </c>
      <c r="D11" s="221" t="str">
        <v>—</v>
      </c>
      <c r="E11" s="221" t="str">
        <v>Référencé</v>
      </c>
    </row>
    <row r="12" spans="1:5" ht="29" x14ac:dyDescent="0.35">
      <c r="A12" s="221" t="str">
        <v>OpenAI</v>
      </c>
      <c r="B12" s="221" t="str">
        <v>Solution(s) référencée(s)</v>
      </c>
      <c r="C12" s="221" t="str">
        <v>OUT-041 ChatGPT</v>
      </c>
      <c r="D12" s="221" t="str">
        <v>—</v>
      </c>
      <c r="E12" s="221" t="str">
        <v>Référencé</v>
      </c>
    </row>
    <row r="13" spans="1:5" ht="29" x14ac:dyDescent="0.35">
      <c r="A13" s="221" t="str">
        <v>Google</v>
      </c>
      <c r="B13" s="221" t="str">
        <v>Solution(s) référencée(s)</v>
      </c>
      <c r="C13" s="221" t="str">
        <v>OUT-047 Gemini</v>
      </c>
      <c r="D13" s="221" t="str">
        <v>—</v>
      </c>
      <c r="E13" s="221" t="str">
        <v>Référencé</v>
      </c>
    </row>
    <row r="14" spans="1:5" ht="29" x14ac:dyDescent="0.35">
      <c r="A14" s="221" t="str">
        <v>Perplexity</v>
      </c>
      <c r="B14" s="221" t="str">
        <v>Solution(s) référencée(s)</v>
      </c>
      <c r="C14" s="221" t="str">
        <v>OUT-059 Perplexity Assistant</v>
      </c>
      <c r="D14" s="221" t="str">
        <v>—</v>
      </c>
      <c r="E14" s="221" t="str">
        <v>Référencé</v>
      </c>
    </row>
    <row r="15" spans="1:5" ht="29" x14ac:dyDescent="0.35">
      <c r="A15" s="221" t="str">
        <v>Salesforce</v>
      </c>
      <c r="B15" s="221" t="str">
        <v>Aucune solution référencée</v>
      </c>
      <c r="C15" s="221" t="str">
        <v>—</v>
      </c>
      <c r="D15" s="221" t="str">
        <v>—</v>
      </c>
      <c r="E15" s="221" t="str">
        <v>Référencé</v>
      </c>
    </row>
    <row r="16" spans="1:5" ht="29" x14ac:dyDescent="0.35">
      <c r="A16" s="221" t="str">
        <v>ServiceNow</v>
      </c>
      <c r="B16" s="221" t="str">
        <v>Aucune solution référencée</v>
      </c>
      <c r="C16" s="221" t="str">
        <v>—</v>
      </c>
      <c r="D16" s="221" t="str">
        <v>—</v>
      </c>
      <c r="E16" s="221" t="str">
        <v>Référencé</v>
      </c>
    </row>
    <row r="17" spans="1:5" ht="29" x14ac:dyDescent="0.35">
      <c r="A17" s="221" t="str">
        <v>SAP</v>
      </c>
      <c r="B17" s="221" t="str">
        <v>Aucune solution référencée</v>
      </c>
      <c r="C17" s="221" t="str">
        <v>—</v>
      </c>
      <c r="D17" s="221" t="str">
        <v>—</v>
      </c>
      <c r="E17" s="221" t="str">
        <v>Référencé</v>
      </c>
    </row>
    <row r="18" spans="1:5" ht="29" x14ac:dyDescent="0.35">
      <c r="A18" s="221" t="str">
        <v>Oracle</v>
      </c>
      <c r="B18" s="221" t="str">
        <v>Aucune solution référencée</v>
      </c>
      <c r="C18" s="221" t="str">
        <v>—</v>
      </c>
      <c r="D18" s="221" t="str">
        <v>—</v>
      </c>
      <c r="E18" s="221" t="str">
        <v>Référencé</v>
      </c>
    </row>
    <row r="19" spans="1:5" ht="29" x14ac:dyDescent="0.35">
      <c r="A19" s="221" t="str">
        <v>Atlassian</v>
      </c>
      <c r="B19" s="221" t="str">
        <v>Aucune solution référencée</v>
      </c>
      <c r="C19" s="221" t="str">
        <v>—</v>
      </c>
      <c r="D19" s="221" t="str">
        <v>—</v>
      </c>
      <c r="E19" s="221" t="str">
        <v>Référencé</v>
      </c>
    </row>
    <row r="20" spans="1:5" ht="29" x14ac:dyDescent="0.35">
      <c r="A20" s="221" t="str">
        <v>Amazon</v>
      </c>
      <c r="B20" s="221" t="str">
        <v>Solution(s) référencée(s)</v>
      </c>
      <c r="C20" s="221" t="str">
        <v>OUT-098 Amazon Q</v>
      </c>
      <c r="D20" s="221" t="str">
        <v>—</v>
      </c>
      <c r="E20" s="221" t="str">
        <v>Référencé</v>
      </c>
    </row>
    <row r="21" spans="1:5" ht="29" x14ac:dyDescent="0.35">
      <c r="A21" s="221" t="str">
        <v>IBM</v>
      </c>
      <c r="B21" s="221" t="str">
        <v>Aucune solution référencée</v>
      </c>
      <c r="C21" s="221" t="str">
        <v>—</v>
      </c>
      <c r="D21" s="221" t="str">
        <v>—</v>
      </c>
      <c r="E21" s="221" t="str">
        <v>Référencé</v>
      </c>
    </row>
    <row r="22" spans="1:5" ht="29" x14ac:dyDescent="0.35">
      <c r="A22" s="221" t="str">
        <v>Meta</v>
      </c>
      <c r="B22" s="221" t="str">
        <v>Solution(s) référencée(s)</v>
      </c>
      <c r="C22" s="221" t="str">
        <v>OUT-120 Meta AI</v>
      </c>
      <c r="D22" s="221" t="str">
        <v>🏷️ Meta AI / Llama</v>
      </c>
      <c r="E22" s="221" t="str">
        <v>À vérifier</v>
      </c>
    </row>
    <row r="23" spans="1:5" ht="29" x14ac:dyDescent="0.35">
      <c r="A23" s="221" t="str">
        <v>Mistral AI</v>
      </c>
      <c r="B23" s="221" t="str">
        <v>Solution(s) référencée(s)</v>
      </c>
      <c r="C23" s="221" t="str">
        <v>OUT-122 Le Chat</v>
      </c>
      <c r="D23" s="221" t="str">
        <v>—</v>
      </c>
      <c r="E23" s="221" t="str">
        <v>Référencé</v>
      </c>
    </row>
    <row r="24" spans="1:5" ht="29" x14ac:dyDescent="0.35">
      <c r="A24" s="221" t="str">
        <v>Cohere</v>
      </c>
      <c r="B24" s="221" t="str">
        <v>Solution(s) référencée(s)</v>
      </c>
      <c r="C24" s="221" t="str">
        <v>OUT-124 Coral</v>
      </c>
      <c r="D24" s="221" t="str">
        <v>—</v>
      </c>
      <c r="E24" s="221" t="str">
        <v>Référencé</v>
      </c>
    </row>
    <row r="25" spans="1:5" ht="29" x14ac:dyDescent="0.35">
      <c r="A25" s="221" t="str">
        <v>Hugging Face</v>
      </c>
      <c r="B25" s="221" t="str">
        <v>Solution(s) référencée(s)</v>
      </c>
      <c r="C25" s="221" t="str">
        <v>OUT-127 HuggingChat</v>
      </c>
      <c r="D25" s="221" t="str">
        <v>—</v>
      </c>
      <c r="E25" s="221" t="str">
        <v>Référencé</v>
      </c>
    </row>
    <row r="26" spans="1:5" ht="29" x14ac:dyDescent="0.35">
      <c r="A26" s="221" t="str">
        <v>N8N</v>
      </c>
      <c r="B26" s="221" t="str">
        <v>Aucune solution référencée</v>
      </c>
      <c r="C26" s="221" t="str">
        <v>—</v>
      </c>
      <c r="D26" s="221" t="str">
        <v>—</v>
      </c>
      <c r="E26" s="221" t="str">
        <v>Référencé</v>
      </c>
    </row>
    <row r="27" spans="1:5" ht="29" x14ac:dyDescent="0.35">
      <c r="A27" s="221" t="str">
        <v>Make</v>
      </c>
      <c r="B27" s="221" t="str">
        <v>Aucune solution référencée</v>
      </c>
      <c r="C27" s="221" t="str">
        <v>—</v>
      </c>
      <c r="D27" s="221" t="str">
        <v>—</v>
      </c>
      <c r="E27" s="221" t="str">
        <v>Référencé</v>
      </c>
    </row>
    <row r="28" spans="1:5" ht="29" x14ac:dyDescent="0.35">
      <c r="A28" s="222" t="str">
        <v>Zapier</v>
      </c>
      <c r="B28" s="222" t="str">
        <v>Aucune solution référencée</v>
      </c>
      <c r="C28" s="222" t="str">
        <v>—</v>
      </c>
      <c r="D28" s="222" t="str">
        <v>—</v>
      </c>
      <c r="E28" s="222" t="str">
        <v>Référencé</v>
      </c>
    </row>
    <row r="29" spans="1:5" x14ac:dyDescent="0.35">
      <c r="A29" s="85"/>
      <c r="B29" s="85"/>
      <c r="C29" s="85"/>
      <c r="D29" s="85"/>
      <c r="E29" s="85"/>
    </row>
    <row r="30" spans="1:5" x14ac:dyDescent="0.35">
      <c r="A30" s="85"/>
      <c r="B30" s="85"/>
      <c r="C30" s="85"/>
      <c r="D30" s="85"/>
      <c r="E30" s="85"/>
    </row>
    <row r="31" spans="1:5" x14ac:dyDescent="0.35">
      <c r="A31" s="226" t="s">
        <v>2246</v>
      </c>
      <c r="B31" s="136"/>
      <c r="C31" s="136"/>
      <c r="D31" s="136"/>
      <c r="E31" s="136"/>
    </row>
    <row r="32" spans="1:5" x14ac:dyDescent="0.35">
      <c r="A32" s="227" t="s">
        <v>2247</v>
      </c>
      <c r="B32" s="120"/>
      <c r="C32" s="120"/>
      <c r="D32" s="120"/>
      <c r="E32" s="120"/>
    </row>
    <row r="33" spans="1:5" x14ac:dyDescent="0.35">
      <c r="A33" s="228" t="s">
        <v>2248</v>
      </c>
      <c r="B33" s="142"/>
      <c r="C33" s="142"/>
      <c r="D33" s="142"/>
      <c r="E33" s="142"/>
    </row>
    <row r="34" spans="1:5" x14ac:dyDescent="0.35">
      <c r="A34" s="85"/>
      <c r="B34" s="85"/>
      <c r="C34" s="85"/>
      <c r="D34" s="85"/>
      <c r="E34" s="85"/>
    </row>
    <row r="35" spans="1:5" x14ac:dyDescent="0.35">
      <c r="A35" s="85"/>
      <c r="B35" s="85"/>
      <c r="C35" s="85"/>
      <c r="D35" s="85"/>
      <c r="E35" s="85"/>
    </row>
  </sheetData>
  <mergeCells count="9">
    <mergeCell ref="A31:E31"/>
    <mergeCell ref="A32:E32"/>
    <mergeCell ref="A33:E33"/>
    <mergeCell ref="A1:E1"/>
    <mergeCell ref="A2:E2"/>
    <mergeCell ref="A3:E3"/>
    <mergeCell ref="A5:E5"/>
    <mergeCell ref="A6:E6"/>
    <mergeCell ref="A8:E8"/>
  </mergeCells>
  <dataValidations count="1">
    <dataValidation type="list" allowBlank="1" showInputMessage="1" showErrorMessage="1" sqref="A6" xr:uid="{B36D40D4-9755-43BF-8436-8BB84D0E5E64}">
      <formula1>Comparaison_Besoins</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2158C-72F9-48D7-8B2B-782B6258A08C}">
  <sheetPr>
    <tabColor rgb="FF58FCEC"/>
  </sheetPr>
  <dimension ref="A1:D224"/>
  <sheetViews>
    <sheetView showGridLines="0" workbookViewId="0">
      <pane ySplit="7" topLeftCell="A113" activePane="bottomLeft" state="frozen"/>
      <selection pane="bottomLeft" activeCell="E5" sqref="E5"/>
    </sheetView>
  </sheetViews>
  <sheetFormatPr baseColWidth="10" defaultRowHeight="14.5" x14ac:dyDescent="0.35"/>
  <cols>
    <col min="1" max="1" width="32.7265625" customWidth="1"/>
    <col min="2" max="2" width="20.90625" customWidth="1"/>
    <col min="3" max="3" width="66.90625" customWidth="1"/>
  </cols>
  <sheetData>
    <row r="1" spans="1:3" ht="36" customHeight="1" thickBot="1" x14ac:dyDescent="0.4">
      <c r="A1" s="144" t="s">
        <v>679</v>
      </c>
      <c r="B1" s="144"/>
      <c r="C1" s="144"/>
    </row>
    <row r="2" spans="1:3" ht="30" customHeight="1" thickTop="1" x14ac:dyDescent="0.35">
      <c r="A2" s="145" t="s">
        <v>680</v>
      </c>
      <c r="B2" s="145"/>
      <c r="C2" s="145"/>
    </row>
    <row r="3" spans="1:3" ht="18" customHeight="1" x14ac:dyDescent="0.35">
      <c r="A3" s="149" t="s">
        <v>1982</v>
      </c>
      <c r="B3" s="149"/>
      <c r="C3" s="149"/>
    </row>
    <row r="4" spans="1:3" ht="28" customHeight="1" x14ac:dyDescent="0.35">
      <c r="A4" s="39" t="s">
        <v>1057</v>
      </c>
      <c r="B4" s="146"/>
      <c r="C4" s="147"/>
    </row>
    <row r="5" spans="1:3" ht="28" customHeight="1" x14ac:dyDescent="0.35">
      <c r="A5" s="148" t="s">
        <v>681</v>
      </c>
      <c r="B5" s="148"/>
      <c r="C5" s="148"/>
    </row>
    <row r="6" spans="1:3" x14ac:dyDescent="0.35">
      <c r="A6" s="32"/>
      <c r="B6" s="32"/>
      <c r="C6" s="32"/>
    </row>
    <row r="7" spans="1:3" x14ac:dyDescent="0.35">
      <c r="A7" s="50" t="s">
        <v>0</v>
      </c>
      <c r="B7" s="49" t="s">
        <v>90</v>
      </c>
      <c r="C7" s="51" t="s">
        <v>1</v>
      </c>
    </row>
    <row r="8" spans="1:3" ht="58" x14ac:dyDescent="0.35">
      <c r="A8" s="52" t="str" cm="1">
        <f t="array" ref="A8:C113">_xlfn.LET(_xlpm.q,LOWER(TRIM($B$4)),_xlpm.terms,Tableau1[Terme],_xlpm.cats,Tableau1[Catégorie],_xlpm.descs,Tableau1[Description],_xlpm.result,_xlfn.HSTACK(_xlpm.terms,_xlpm.cats,_xlpm.descs),_xlpm.hay,LOWER(_xlpm.terms&amp;" "&amp;_xlpm.cats&amp;" "&amp;_xlpm.descs),IF(_xlpm.q="",_xlfn._xlws.SORT(_xlpm.result,1,1),IFERROR(_xlfn._xlws.SORT(_xlfn._xlws.FILTER(_xlpm.result,ISNUMBER(SEARCH(_xlpm.q,_xlpm.hay))),1,1),"Aucun résultat : essayez un terme plus simple ou un synonyme")))</f>
        <v>Adaptive Cards</v>
      </c>
      <c r="B8" s="47" t="str">
        <v>Copilot</v>
      </c>
      <c r="C8" s="36" t="str">
        <v>Composants interactifs utilisés dans Teams et Copilot Studio.
La certification mentionne les Adaptive Cards parmi les connaissances attendues.</v>
      </c>
    </row>
    <row r="9" spans="1:3" ht="101.5" x14ac:dyDescent="0.35">
      <c r="A9" s="52" t="str">
        <v>Agent</v>
      </c>
      <c r="B9" s="47" t="str">
        <v>Agentique</v>
      </c>
      <c r="C9" s="36" t="str">
        <v>Assistant IA orienté objectif.
Il peut :
raisonner ;
rechercher ;
agir.</v>
      </c>
    </row>
    <row r="10" spans="1:3" ht="29" x14ac:dyDescent="0.35">
      <c r="A10" s="52" t="str">
        <v>Agent Flow</v>
      </c>
      <c r="B10" s="47" t="str">
        <v>Copilot</v>
      </c>
      <c r="C10" s="36" t="str">
        <v>Mécanisme d'automatisation propre à Copilot Studio permettant d'intégrer applications et services via des flux d'agents.</v>
      </c>
    </row>
    <row r="11" spans="1:3" ht="43.5" x14ac:dyDescent="0.35">
      <c r="A11" s="52" t="str">
        <v>Agent2Agent (A2A)</v>
      </c>
      <c r="B11" s="47" t="str">
        <v>Agentique</v>
      </c>
      <c r="C11" s="36" t="str">
        <v>Communication entre agents.
Également cité dans le périmètre de la certification.</v>
      </c>
    </row>
    <row r="12" spans="1:3" ht="130.5" x14ac:dyDescent="0.35">
      <c r="A12" s="52" t="str">
        <v>Agentic AI</v>
      </c>
      <c r="B12" s="47" t="str">
        <v>Agentique</v>
      </c>
      <c r="C12" s="36" t="str">
        <v>Systèmes d'agents autonomes capables de :
planifier ;
prendre des décisions ;
exécuter des actions.
Les ressources internes Atos décrivent les agents IA comme des programmes capables de prendre des décisions et d'exécuter des actions, éventuellement avec supervision humaine.</v>
      </c>
    </row>
    <row r="13" spans="1:3" ht="43.5" x14ac:dyDescent="0.35">
      <c r="A13" s="52" t="str">
        <v>Alignment</v>
      </c>
      <c r="B13" s="47" t="str">
        <v>Sécurité</v>
      </c>
      <c r="C13" s="36" t="str">
        <v>Processus visant à aligner le comportement d'un modèle IA sur les valeurs et intentions humaines. Inclut RLHF, constitutional AI, et autres techniques pour rendre l'IA utile, honnête et inoffensive.</v>
      </c>
    </row>
    <row r="14" spans="1:3" ht="43.5" x14ac:dyDescent="0.35">
      <c r="A14" s="52" t="str">
        <v>Anthropic</v>
      </c>
      <c r="B14" s="47" t="str">
        <v>Généralité</v>
      </c>
      <c r="C14" s="36" t="str">
        <v>Entreprise d'IA fondée par d'anciens membres d'OpenAI. Créateur de Claude. Focus sur la sécurité de l'IA (AI Safety) et l'alignement. Techniques notables : Constitutional AI, RLHF.</v>
      </c>
    </row>
    <row r="15" spans="1:3" ht="43.5" x14ac:dyDescent="0.35">
      <c r="A15" s="52" t="str">
        <v>API</v>
      </c>
      <c r="B15" s="47" t="str">
        <v>Architecture</v>
      </c>
      <c r="C15" s="36" t="str">
        <v>Application Programming Interface. Interface permettant à des applications de communiquer entre elles. Les LLM sont généralement accessibles via des APIs REST (OpenAI API, Azure OpenAI, etc.).</v>
      </c>
    </row>
    <row r="16" spans="1:3" ht="43.5" x14ac:dyDescent="0.35">
      <c r="A16" s="52" t="str">
        <v>Attention (mécanisme)</v>
      </c>
      <c r="B16" s="47" t="str">
        <v>Architecture</v>
      </c>
      <c r="C16" s="36" t="str">
        <v>Mécanisme fondamental des Transformers permettant au modèle de pondérer l'importance relative de chaque mot/token par rapport aux autres dans une séquence. Permet de capturer les relations contextuelles.</v>
      </c>
    </row>
    <row r="17" spans="1:3" ht="43.5" x14ac:dyDescent="0.35">
      <c r="A17" s="52" t="str">
        <v>Auto Rewrite</v>
      </c>
      <c r="B17" s="47" t="str">
        <v>Copilot</v>
      </c>
      <c r="C17" s="36" t="str">
        <v>Nouvelle fonctionnalité dans Word. Sert à reformuler un texte existant en modifiant le ton, le style ou la clarté. C'est donc l'outil adapté pour transformer un paragraphe en un texte plus formel.</v>
      </c>
    </row>
    <row r="18" spans="1:3" ht="43.5" x14ac:dyDescent="0.35">
      <c r="A18" s="52" t="str">
        <v>AutoGPT</v>
      </c>
      <c r="B18" s="47" t="str">
        <v>Agentique</v>
      </c>
      <c r="C18" s="36" t="str">
        <v>Agent IA autonome open source capable de décomposer un objectif en sous-tâches, les exécuter et itérer jusqu'à l'accomplissement. Pionnier du mouvement agentique (2023).</v>
      </c>
    </row>
    <row r="19" spans="1:3" ht="43.5" x14ac:dyDescent="0.35">
      <c r="A19" s="52" t="str">
        <v>Azure OpenAI Service</v>
      </c>
      <c r="B19" s="47" t="str">
        <v>Outil</v>
      </c>
      <c r="C19" s="36" t="str">
        <v>Service cloud Azure donnant accès aux modèles OpenAI (GPT-4, DALL-E, Whisper) avec la sécurité et conformité entreprise Azure. C'est le backend de Microsoft 365 Copilot.</v>
      </c>
    </row>
    <row r="20" spans="1:3" ht="116" x14ac:dyDescent="0.35">
      <c r="A20" s="52" t="str">
        <v>Benchmark (IA)</v>
      </c>
      <c r="B20" s="47" t="str">
        <v>Architecture</v>
      </c>
      <c r="C20" s="36" t="str">
        <v>Ensemble de tests standardisés pour évaluer les performances des modèles IA.
Exemples :
• MMLU : connaissances générales
• HumanEval : code
• GSM8K : mathématiques
• HellaSwag : raisonnement</v>
      </c>
    </row>
    <row r="21" spans="1:3" ht="43.5" x14ac:dyDescent="0.35">
      <c r="A21" s="52" t="str">
        <v>Biais (IA)</v>
      </c>
      <c r="B21" s="47" t="str">
        <v>Sécurité</v>
      </c>
      <c r="C21" s="36" t="str">
        <v>Tendance d'un modèle IA à produire des résultats systématiquement faussés en raison de biais dans les données d'entraînement ou la conception. Peut perpétuer des stéréotypes ou discriminations.</v>
      </c>
    </row>
    <row r="22" spans="1:3" ht="58" x14ac:dyDescent="0.35">
      <c r="A22" s="52" t="str">
        <v>Chain of Thought (CoT)</v>
      </c>
      <c r="B22" s="47" t="str">
        <v>Pattern</v>
      </c>
      <c r="C22" s="36" t="str">
        <v>Technique de prompting qui encourage le modèle à expliciter son raisonnement étape par étape avant de donner une réponse finale. Améliore la précision sur les problèmes complexes. Exemple : "Réfléchis étape par étape..."</v>
      </c>
    </row>
    <row r="23" spans="1:3" x14ac:dyDescent="0.35">
      <c r="A23" s="52" t="str">
        <v>Chunking</v>
      </c>
      <c r="B23" s="47" t="str">
        <v>Données</v>
      </c>
      <c r="C23" s="36" t="str">
        <v>Découpage des documents pour le RAG.</v>
      </c>
    </row>
    <row r="24" spans="1:3" ht="43.5" x14ac:dyDescent="0.35">
      <c r="A24" s="52" t="str">
        <v>Claude for Work</v>
      </c>
      <c r="B24" s="47" t="str">
        <v>Outil</v>
      </c>
      <c r="C24" s="36" t="str">
        <v>Offre entreprise d'Anthropic intégrant Claude dans les outils de travail. Équivalent de M365 Copilot côté Anthropic. Permet à l'IA d'accéder aux documents et données de l'organisation.</v>
      </c>
    </row>
    <row r="25" spans="1:3" ht="29" x14ac:dyDescent="0.35">
      <c r="A25" s="52" t="str">
        <v>Coach</v>
      </c>
      <c r="B25" s="47" t="str">
        <v>Copilot</v>
      </c>
      <c r="C25" s="36" t="str">
        <v>Entraineur de présentation intégré dans PowerPoint. Se rendre dans Diaporama et sélectionner Répéter avec Coach.</v>
      </c>
    </row>
    <row r="26" spans="1:3" ht="43.5" x14ac:dyDescent="0.35">
      <c r="A26" s="52" t="str">
        <v>Connectors</v>
      </c>
      <c r="B26" s="47" t="str">
        <v>Copilot</v>
      </c>
      <c r="C26" s="36" t="str">
        <v>Composants qui permettent à Copilot/Power Platform de se connecter à des sources de données externes (SharePoint, Salesforce, APIs...). Plus de 1000 connecteurs disponibles dans l'écosystème Microsoft.</v>
      </c>
    </row>
    <row r="27" spans="1:3" ht="58" x14ac:dyDescent="0.35">
      <c r="A27" s="52" t="str">
        <v>Context Window</v>
      </c>
      <c r="B27" s="47" t="str">
        <v>Modèle</v>
      </c>
      <c r="C27" s="36" t="str">
        <v>Nombre maximum de tokens qu'un LLM peut traiter en une seule requête (prompt + réponse). Exemples : GPT-4 = 128K tokens, Claude = 200K tokens. Limite la quantité d'informations que le modèle peut "voir" simultanément.</v>
      </c>
    </row>
    <row r="28" spans="1:3" x14ac:dyDescent="0.35">
      <c r="A28" s="52" t="str">
        <v>Contexte</v>
      </c>
      <c r="B28" s="47" t="str">
        <v>Généralité</v>
      </c>
      <c r="C28" s="36" t="str">
        <v>Informations fournies au modèle.</v>
      </c>
    </row>
    <row r="29" spans="1:3" x14ac:dyDescent="0.35">
      <c r="A29" s="52" t="str">
        <v>Copilot</v>
      </c>
      <c r="B29" s="47" t="str">
        <v>Copilot</v>
      </c>
      <c r="C29" s="36" t="str">
        <v>Assistant IA Microsoft.</v>
      </c>
    </row>
    <row r="30" spans="1:3" ht="43.5" x14ac:dyDescent="0.35">
      <c r="A30" s="52" t="str">
        <v>Copilot Actions</v>
      </c>
      <c r="B30" s="47" t="str">
        <v>Copilot</v>
      </c>
      <c r="C30" s="36" t="str">
        <v>Automatisations créées et déclenchées par Copilot pour exécuter des tâches répétitives. Permettent de transformer des instructions en langage naturel en workflows automatisés.</v>
      </c>
    </row>
    <row r="31" spans="1:3" ht="43.5" x14ac:dyDescent="0.35">
      <c r="A31" s="52" t="str">
        <v>Copilot Chat</v>
      </c>
      <c r="B31" s="47" t="str">
        <v>Copilot</v>
      </c>
      <c r="C31" s="36" t="str">
        <v>Interface de chat IA gratuite de Microsoft accessible via copilot.microsoft.com ou Bing. Permet de dialoguer avec l'IA sans licence M365 Copilot. Fonctionnalités limitées par rapport à M365 Copilot.</v>
      </c>
    </row>
    <row r="32" spans="1:3" ht="43.5" x14ac:dyDescent="0.35">
      <c r="A32" s="52" t="str">
        <v>Copilot Lab</v>
      </c>
      <c r="B32" s="47" t="str">
        <v>Copilot</v>
      </c>
      <c r="C32" s="36" t="str">
        <v>Espace d'apprentissage et d'expérimentation pour maîtriser Copilot. Propose des prompts recommandés, des conseils et permet de sauvegarder ses prompts favoris.</v>
      </c>
    </row>
    <row r="33" spans="1:3" ht="43.5" x14ac:dyDescent="0.35">
      <c r="A33" s="52" t="str">
        <v>Copilot Pages</v>
      </c>
      <c r="B33" s="47" t="str">
        <v>Copilot</v>
      </c>
      <c r="C33" s="36" t="str">
        <v>Canvas collaboratif alimenté par l'IA dans Microsoft 365. Permet de créer des pages partagées où les utilisateurs peuvent travailler ensemble avec l'assistance de Copilot pour synthétiser, organiser et enrichir le contenu.</v>
      </c>
    </row>
    <row r="34" spans="1:3" ht="43.5" x14ac:dyDescent="0.35">
      <c r="A34" s="52" t="str">
        <v>Copilot Studio</v>
      </c>
      <c r="B34" s="47" t="str">
        <v>Copilot</v>
      </c>
      <c r="C34" s="36" t="str">
        <v>Plateforme low-code de Microsoft pour créer, personnaliser et déployer des agents Copilot. Permet de connecter des sources de données, définir des actions et orchestrer des workflows sans coder.</v>
      </c>
    </row>
    <row r="35" spans="1:3" ht="43.5" x14ac:dyDescent="0.35">
      <c r="A35" s="52" t="str">
        <v>CrewAI</v>
      </c>
      <c r="B35" s="47" t="str">
        <v>Agentique</v>
      </c>
      <c r="C35" s="36" t="str">
        <v>Framework Python pour créer des équipes d'agents IA collaboratifs. Chaque agent a un rôle, des compétences et peut déléguer des tâches à d'autres agents.</v>
      </c>
    </row>
    <row r="36" spans="1:3" ht="43.5" x14ac:dyDescent="0.35">
      <c r="A36" s="52" t="str">
        <v>Cypher</v>
      </c>
      <c r="B36" s="47" t="str">
        <v>Données</v>
      </c>
      <c r="C36" s="36" t="str">
        <v>Langage de requête pour les bases de données graphes (Neo4j). Permet d'interroger et manipuler des graphes de connaissances de manière intuitive avec une syntaxe visuelle.</v>
      </c>
    </row>
    <row r="37" spans="1:3" ht="43.5" x14ac:dyDescent="0.35">
      <c r="A37" s="52" t="str">
        <v>Data Lakehouse</v>
      </c>
      <c r="B37" s="47" t="str">
        <v>Données</v>
      </c>
      <c r="C37" s="36" t="str">
        <v>Architecture de données combinant les avantages du Data Lake (stockage brut, flexible) et du Data Warehouse (structure, performance). Exemples : Databricks, Microsoft Fabric.</v>
      </c>
    </row>
    <row r="38" spans="1:3" ht="43.5" x14ac:dyDescent="0.35">
      <c r="A38" s="52" t="str">
        <v>Data Loss Prevention (DLP)</v>
      </c>
      <c r="B38" s="47" t="str">
        <v>Sécurité</v>
      </c>
      <c r="C38" s="36" t="str">
        <v>Ensemble de politiques et outils pour empêcher la fuite de données sensibles. Dans le contexte Copilot, le DLP contrôle quelles informations peuvent être partagées avec l'IA.</v>
      </c>
    </row>
    <row r="39" spans="1:3" ht="43.5" x14ac:dyDescent="0.35">
      <c r="A39" s="52" t="str">
        <v>Dataverse</v>
      </c>
      <c r="B39" s="47" t="str">
        <v>Copilot</v>
      </c>
      <c r="C39" s="36" t="str">
        <v>Base de données métier de la Power Platform.
La certification AI Agent Builder demande une connaissance de Dataverse.</v>
      </c>
    </row>
    <row r="40" spans="1:3" ht="43.5" x14ac:dyDescent="0.35">
      <c r="A40" s="52" t="str">
        <v>Declarative Agent</v>
      </c>
      <c r="B40" s="47" t="str">
        <v>Copilot</v>
      </c>
      <c r="C40" s="36" t="str">
        <v>Type d'agent Copilot Studio défini par configuration (déclaratif) plutôt que par code. On déclare ce que l'agent doit faire (sources, instructions, actions) sans programmer la logique.</v>
      </c>
    </row>
    <row r="41" spans="1:3" ht="43.5" x14ac:dyDescent="0.35">
      <c r="A41" s="52" t="str">
        <v>Diffusion Model</v>
      </c>
      <c r="B41" s="47" t="str">
        <v>Modèle</v>
      </c>
      <c r="C41" s="36" t="str">
        <v>Architecture utilisée pour la génération d'images (DALL-E, Stable Diffusion, Imagen). Apprend à reconstruire des images à partir de bruit, puis inverse le processus pour générer de nouvelles images.</v>
      </c>
    </row>
    <row r="42" spans="1:3" ht="43.5" x14ac:dyDescent="0.35">
      <c r="A42" s="52" t="str">
        <v>Draft with Selection</v>
      </c>
      <c r="B42" s="47" t="str">
        <v>Copilot</v>
      </c>
      <c r="C42" s="36" t="str">
        <v>Nouvelle fonctionnalité dans Word. Sert à générer ou développer du contenu à partir d'une sélection, par exemple convertir une liste à puces en un paragraphe rédigé et structuré.</v>
      </c>
    </row>
    <row r="43" spans="1:3" x14ac:dyDescent="0.35">
      <c r="A43" s="52" t="str">
        <v>Embedding</v>
      </c>
      <c r="B43" s="47" t="str">
        <v>Données</v>
      </c>
      <c r="C43" s="36" t="str">
        <v>Représentation mathématique d'un texte.</v>
      </c>
    </row>
    <row r="44" spans="1:3" ht="43.5" x14ac:dyDescent="0.35">
      <c r="A44" s="52" t="str">
        <v>Entra ID</v>
      </c>
      <c r="B44" s="47" t="str">
        <v>Sécurité</v>
      </c>
      <c r="C44" s="36" t="str">
        <v>Nouveau nom d'Azure Active Directory. Service d'identité et d'accès de Microsoft. Gère l'authentification, les permissions et la sécurité des accès aux ressources cloud et Copilot.</v>
      </c>
    </row>
    <row r="45" spans="1:3" ht="29" x14ac:dyDescent="0.35">
      <c r="A45" s="52" t="str">
        <v>Explain</v>
      </c>
      <c r="B45" s="47" t="str">
        <v>Copilot</v>
      </c>
      <c r="C45" s="36" t="str">
        <v>Fonction expliquer dans PowerPoint. Il suffit de faire un clique droit sur les objets pour comprendre le sens et travailler sa naration.</v>
      </c>
    </row>
    <row r="46" spans="1:3" ht="43.5" x14ac:dyDescent="0.35">
      <c r="A46" s="52" t="str">
        <v>Explainability / XAI</v>
      </c>
      <c r="B46" s="47" t="str">
        <v>Sécurité</v>
      </c>
      <c r="C46" s="36" t="str">
        <v>IA Explicable. Capacité à comprendre et expliquer comment un modèle IA arrive à ses décisions. Essentiel pour la confiance, l'audit et la conformité réglementaire (EU AI Act).</v>
      </c>
    </row>
    <row r="47" spans="1:3" ht="58" x14ac:dyDescent="0.35">
      <c r="A47" s="52" t="str">
        <v>Few-shot Learning</v>
      </c>
      <c r="B47" s="47" t="str">
        <v>Prompting</v>
      </c>
      <c r="C47" s="36" t="str">
        <v>Technique de prompting où l'on fournit quelques exemples (2-5) dans le prompt pour guider le modèle sur le format ou le style de réponse attendu. Exemple : donner 3 exemples de classification avant de demander une nouvelle classification.</v>
      </c>
    </row>
    <row r="48" spans="1:3" ht="43.5" x14ac:dyDescent="0.35">
      <c r="A48" s="52" t="str">
        <v>Fine-tuning</v>
      </c>
      <c r="B48" s="47" t="str">
        <v>Modèle</v>
      </c>
      <c r="C48" s="36" t="str">
        <v>Processus d'entraînement supplémentaire d'un modèle pré-entraîné sur des données spécifiques pour l'adapter à une tâche ou un domaine particulier. Permet de personnaliser les réponses du modèle.</v>
      </c>
    </row>
    <row r="49" spans="1:3" ht="43.5" x14ac:dyDescent="0.35">
      <c r="A49" s="52" t="str">
        <v>Foundation Model</v>
      </c>
      <c r="B49" s="47" t="str">
        <v>Type de modèle IA</v>
      </c>
      <c r="C49" s="36" t="str">
        <v>Modèle IA de grande taille pré-entraîné sur des données massives, servant de base pour diverses applications. Exemples : GPT-4, Claude, Llama. Peut être adapté via fine-tuning ou prompting.</v>
      </c>
    </row>
    <row r="50" spans="1:3" ht="43.5" x14ac:dyDescent="0.35">
      <c r="A50" s="52" t="str">
        <v>Frontier (agents)</v>
      </c>
      <c r="B50" s="47" t="str">
        <v>Copilot</v>
      </c>
      <c r="C50" s="36" t="str">
        <v>Catégorie d'agents Copilot en preview ou accès anticipé. Fonctionnalités avancées nécessitant souvent des licences spécifiques (Dynamics 365, Copilot Studio). Peuvent évoluer avant la disponibilité générale.</v>
      </c>
    </row>
    <row r="51" spans="1:3" ht="43.5" x14ac:dyDescent="0.35">
      <c r="A51" s="52" t="str">
        <v>Function Calling</v>
      </c>
      <c r="B51" s="47" t="str">
        <v>Agentique</v>
      </c>
      <c r="C51" s="36" t="str">
        <v>Capacité d'un LLM à générer des appels de fonction structurés (JSON) plutôt que du texte. Permet au modèle d'interagir avec des APIs et outils externes de manière fiable.</v>
      </c>
    </row>
    <row r="52" spans="1:3" ht="409.5" x14ac:dyDescent="0.35">
      <c r="A52" s="52" t="str">
        <v>Générations d'IA</v>
      </c>
      <c r="B52" s="47" t="str">
        <v>Généralité</v>
      </c>
      <c r="C52" s="36" t="str">
        <v>Évolution historique des modèles d'intelligence artificielle :
🔹 1re génération – IA symbolique (années 1950-1980)
Systèmes basés sur des règles logiques et la manipulation de symboles.
Exemples : ELIZA, systèmes experts (MYCIN, DENDRAL)
🔹 2e génération – Machine Learning (années 1990-2010)
Apprentissage à partir de données avec algorithmes statistiques.
Exemples : SVM, Random Forest, réseaux de neurones classiques, IBM Watson (Jeopardy)
🔹 3e génération – Deep Learning (années 2012-2020)
Réseaux de neurones profonds, architectures Transformer (2017).
Exemples : BERT, GPT-2, GPT-3, AlphaGo, reconnaissance d'images (ResNet)
🔹 4e génération – IA Générative (2022-2024)
Modèles de langage massifs, multimodaux, assistants conversationnels.
Exemples : GPT-4, Claude 3, Gemini, DALL-E 3, Midjourney, Copilot, Phi-3/4 (SLM)
🔹 5e génération – IA Agentique &amp; Raisonnement (2024-2025)
Modèles capables de raisonner, planifier et agir de manière autonome.
Exemples : OpenAI o1/o3, Gemini 2.0 Flash Thinking, agents Copilot Studio, Operator (OpenAI)
🔹 6e génération – AGI / IA Générale (à venir)
Intelligence artificielle capable d'égaler ou surpasser l'intelligence humaine sur toutes les tâches cognitives. Autonomie complète, apprentissage continu, transfert de connaissances entre domaines.
Exemples attendus : GPT-5 (?), Project Stargate, initiatives DeepMind, recherches Anthropic sur l'alignement</v>
      </c>
    </row>
    <row r="53" spans="1:3" ht="58" x14ac:dyDescent="0.35">
      <c r="A53" s="52" t="str">
        <v>Grounding</v>
      </c>
      <c r="B53" s="47" t="str">
        <v>Architecture</v>
      </c>
      <c r="C53" s="36" t="str">
        <v>Ancrage dans une source fiable.
Les agents Microsoft peuvent s'appuyer sur des connaissances d'entreprise pour répondre à partir des données du tenant.</v>
      </c>
    </row>
    <row r="54" spans="1:3" ht="58" x14ac:dyDescent="0.35">
      <c r="A54" s="52" t="str">
        <v>Guardrails</v>
      </c>
      <c r="B54" s="47" t="str">
        <v>Sécurité</v>
      </c>
      <c r="C54" s="36" t="str">
        <v>Mécanismes de sécurité intégrés aux systèmes IA pour prévenir les comportements indésirables : filtrage de contenu, détection de jailbreak, limites d'actions. Amazon Bedrock Guardrails, Llama Guard en sont des exemples.</v>
      </c>
    </row>
    <row r="55" spans="1:3" x14ac:dyDescent="0.35">
      <c r="A55" s="52" t="str">
        <v>Hallucination</v>
      </c>
      <c r="B55" s="47" t="str">
        <v>Généralité</v>
      </c>
      <c r="C55" s="36" t="str">
        <v>Réponse d'une IA plausible mais fausse.</v>
      </c>
    </row>
    <row r="56" spans="1:3" ht="43.5" x14ac:dyDescent="0.35">
      <c r="A56" s="52" t="str">
        <v>Hugging Face</v>
      </c>
      <c r="B56" s="47" t="str">
        <v>Outil</v>
      </c>
      <c r="C56" s="36" t="str">
        <v>Plateforme communautaire pour le partage de modèles IA, datasets et applications. Hub central de l'écosystème open source ML. Propose aussi des outils (Transformers, Datasets, Spaces).</v>
      </c>
    </row>
    <row r="57" spans="1:3" ht="87" x14ac:dyDescent="0.35">
      <c r="A57" s="52" t="str">
        <v>IA Générative</v>
      </c>
      <c r="B57" s="47" t="str">
        <v>Généralité</v>
      </c>
      <c r="C57" s="36" t="str">
        <v>IA capable de produire :
texte
image
audio
vidéo
LLM</v>
      </c>
    </row>
    <row r="58" spans="1:3" ht="101.5" x14ac:dyDescent="0.35">
      <c r="A58" s="52" t="str">
        <v>Indexing (IA)</v>
      </c>
      <c r="B58" s="47" t="str">
        <v>Données</v>
      </c>
      <c r="C58" s="36" t="str">
        <v>Processus de préparation des documents pour la recherche :
1. Chunking (découpage)
2. Embedding (vectorisation)
3. Stockage dans une base vectorielle
Étape essentielle du RAG.</v>
      </c>
    </row>
    <row r="59" spans="1:3" ht="43.5" x14ac:dyDescent="0.35">
      <c r="A59" s="52" t="str">
        <v>Inference</v>
      </c>
      <c r="B59" s="47" t="str">
        <v>Modèle</v>
      </c>
      <c r="C59" s="36" t="str">
        <v>Processus d'exécution d'un modèle entraîné pour générer des prédictions ou des réponses à partir de nouvelles entrées. C'est le moment où le modèle "travaille" pour répondre à une requête.</v>
      </c>
    </row>
    <row r="60" spans="1:3" x14ac:dyDescent="0.35">
      <c r="A60" s="52" t="str">
        <v>Instructions personnalisées</v>
      </c>
      <c r="B60" s="47" t="str">
        <v>Prompting</v>
      </c>
      <c r="C60" s="36" t="str">
        <v>Il s'agit d'instruction permanentes sur vous-même ou le contexte.</v>
      </c>
    </row>
    <row r="61" spans="1:3" ht="43.5" x14ac:dyDescent="0.35">
      <c r="A61" s="52" t="str">
        <v>Jailbreak</v>
      </c>
      <c r="B61" s="47" t="str">
        <v>Sécurité</v>
      </c>
      <c r="C61" s="36" t="str">
        <v>Technique visant à contourner les guardrails et restrictions d'un modèle IA pour obtenir des réponses normalement interdites. Les fournisseurs renforcent continuellement leurs protections contre ces attaques.</v>
      </c>
    </row>
    <row r="62" spans="1:3" ht="43.5" x14ac:dyDescent="0.35">
      <c r="A62" s="52" t="str">
        <v>Knowledge Graph</v>
      </c>
      <c r="B62" s="47" t="str">
        <v>Données</v>
      </c>
      <c r="C62" s="36" t="str">
        <v>Graphe de connaissances représentant les entités (personnes, concepts, objets) et leurs relations. Utilisé pour enrichir le contexte des agents IA et améliorer le RAG. Microsoft Graph en est un exemple.</v>
      </c>
    </row>
    <row r="63" spans="1:3" ht="130.5" x14ac:dyDescent="0.35">
      <c r="A63" s="52" t="str">
        <v>LangChain</v>
      </c>
      <c r="B63" s="47" t="str">
        <v>Outil</v>
      </c>
      <c r="C63" s="36" t="str">
        <v>Framework permettant de connecter :
LLM ;
outils ;
données ;
workflows.
Les supports internes Atos présentent LangChain comme l'une des briques fondamentales de l'écosystème agentique.</v>
      </c>
    </row>
    <row r="64" spans="1:3" ht="43.5" x14ac:dyDescent="0.35">
      <c r="A64" s="52" t="str">
        <v>LangGraph</v>
      </c>
      <c r="B64" s="47" t="str">
        <v>Outil</v>
      </c>
      <c r="C64" s="36" t="str">
        <v>Framework d'orchestration multi-agents. Atos le présente comme une extension permettant de créer des applications multi-acteurs et des runtimes agentiques sophistiqués.</v>
      </c>
    </row>
    <row r="65" spans="1:3" ht="145" x14ac:dyDescent="0.35">
      <c r="A65" s="52" t="str">
        <v>Large Language Model (LLM) – 3e/4e génération</v>
      </c>
      <c r="B65" s="47" t="str">
        <v>Type de modèle IA</v>
      </c>
      <c r="C65" s="36" t="str">
        <v>Large Language Model (Grand modèle de langage). Modèle d'IA entraîné sur de vastes corpus de textes pour comprendre et générer du langage naturel.
Exemples :
• OpenAI : GPT-4, GPT-4o, o1, o3
• Anthropic : Claude 3.5 Sonnet, Claude 3 Opus
• Google : Gemini Pro, Gemini Ultra
• Meta : Llama 3, Llama 3.1
• Mistral AI : Mistral Large, Mixtral
• Microsoft : Phi-3, Phi-4</v>
      </c>
    </row>
    <row r="66" spans="1:3" ht="43.5" x14ac:dyDescent="0.35">
      <c r="A66" s="52" t="str">
        <v>Latent Space</v>
      </c>
      <c r="B66" s="47" t="str">
        <v>Architecture</v>
      </c>
      <c r="C66" s="36" t="str">
        <v>Espace vectoriel de haute dimension où les modèles IA représentent les concepts. Les embeddings vivent dans cet espace. Les concepts similaires sont proches dans l'espace latent.</v>
      </c>
    </row>
    <row r="67" spans="1:3" ht="43.5" x14ac:dyDescent="0.35">
      <c r="A67" s="52" t="str">
        <v>Loop</v>
      </c>
      <c r="B67" s="47" t="str">
        <v>Copilot</v>
      </c>
      <c r="C67" s="36" t="str">
        <v>Application Microsoft de collaboration en temps réel. Les composants Loop sont des blocs de contenu portables et synchronisés entre les apps M365, avec Copilot intégré pour la co-création.</v>
      </c>
    </row>
    <row r="68" spans="1:3" ht="43.5" x14ac:dyDescent="0.35">
      <c r="A68" s="52" t="str">
        <v>LoRA / QLoRA</v>
      </c>
      <c r="B68" s="47" t="str">
        <v>Architecture</v>
      </c>
      <c r="C68" s="36" t="str">
        <v>Low-Rank Adaptation. Technique de fine-tuning efficace qui n'entraîne qu'une petite partie des paramètres du modèle. QLoRA combine LoRA avec la quantization pour réduire encore les ressources nécessaires.</v>
      </c>
    </row>
    <row r="69" spans="1:3" ht="87" x14ac:dyDescent="0.35">
      <c r="A69" s="52" t="str">
        <v>MCP</v>
      </c>
      <c r="B69" s="47" t="str">
        <v>Agentique</v>
      </c>
      <c r="C69" s="36" t="str">
        <v>Model Context Protocol.
Standard permettant aux modèles IA d'accéder à des outils et sources externes.
La certification Microsoft le cite explicitement parmi les notions attendues.</v>
      </c>
    </row>
    <row r="70" spans="1:3" ht="87" x14ac:dyDescent="0.35">
      <c r="A70" s="52" t="str">
        <v>Memory (agents)</v>
      </c>
      <c r="B70" s="47" t="str">
        <v>Agentique</v>
      </c>
      <c r="C70" s="36" t="str">
        <v>Système permettant aux agents de conserver des informations entre les interactions.
• Mémoire court terme : contexte de la conversation
• Mémoire long terme : faits persistants
• Mémoire épisodique : expériences passées</v>
      </c>
    </row>
    <row r="71" spans="1:3" ht="43.5" x14ac:dyDescent="0.35">
      <c r="A71" s="52" t="str">
        <v>Microsoft 365 Copilot</v>
      </c>
      <c r="B71" s="47" t="str">
        <v>Copilot</v>
      </c>
      <c r="C71" s="36" t="str">
        <v>Assistant IA intégré aux applications Microsoft 365 (Word, Excel, PowerPoint, Outlook, Teams). Nécessite une licence spécifique. Accède aux données de l'organisation via Microsoft Graph.</v>
      </c>
    </row>
    <row r="72" spans="1:3" ht="43.5" x14ac:dyDescent="0.35">
      <c r="A72" s="52" t="str">
        <v>Microsoft Graph</v>
      </c>
      <c r="B72" s="47" t="str">
        <v>Copilot</v>
      </c>
      <c r="C72" s="36" t="str">
        <v>API unifiée de Microsoft donnant accès aux données M365 : emails, calendriers, fichiers, contacts, Teams... C'est la source principale de contexte pour M365 Copilot.</v>
      </c>
    </row>
    <row r="73" spans="1:3" ht="43.5" x14ac:dyDescent="0.35">
      <c r="A73" s="52" t="str">
        <v>Microsoft Places</v>
      </c>
      <c r="B73" s="47" t="str">
        <v>Copilot</v>
      </c>
      <c r="C73" s="36" t="str">
        <v>Application M365 pour optimiser le travail hybride. Utilise l'IA pour coordonner la présence au bureau, les réservations d'espaces et la collaboration en présentiel.</v>
      </c>
    </row>
    <row r="74" spans="1:3" ht="116" x14ac:dyDescent="0.35">
      <c r="A74" s="52" t="str">
        <v>Modèle de raisonnement – 5e génération</v>
      </c>
      <c r="B74" s="47" t="str">
        <v>Type de modèle IA</v>
      </c>
      <c r="C74" s="36" t="str">
        <v>Modèles optimisés pour le raisonnement complexe et la résolution de problèmes.
Exemples :
• OpenAI o1, o3
• Google Gemini 2.0 Flash Thinking
Utilisent des techniques de "thinking" avant de répondre.</v>
      </c>
    </row>
    <row r="75" spans="1:3" ht="130.5" x14ac:dyDescent="0.35">
      <c r="A75" s="52" t="str">
        <v>Modèle multimodal – 4e génération</v>
      </c>
      <c r="B75" s="47" t="str">
        <v>Type de modèle IA</v>
      </c>
      <c r="C75" s="36" t="str">
        <v>Modèle capable de traiter plusieurs types de données : texte, image, audio, vidéo.
Exemples :
• GPT-4o (texte + image + audio)
• Gemini (texte + image + vidéo)
• Claude 3 (texte + image)
Permet des interactions plus riches et naturelles.</v>
      </c>
    </row>
    <row r="76" spans="1:3" ht="130.5" x14ac:dyDescent="0.35">
      <c r="A76" s="52" t="str">
        <v>Multi-Agent</v>
      </c>
      <c r="B76" s="47" t="str">
        <v>Agentique</v>
      </c>
      <c r="C76" s="36" t="str">
        <v>Plusieurs agents spécialisés travaillent ensemble.
Exemple :
Agent RH
↓
Agent Finance
↓
Agent Reporting</v>
      </c>
    </row>
    <row r="77" spans="1:3" ht="58" x14ac:dyDescent="0.35">
      <c r="A77" s="52" t="str">
        <v>N8N</v>
      </c>
      <c r="B77" s="47" t="str">
        <v>Outil</v>
      </c>
      <c r="C77" s="36" t="str">
        <v>Plateforme d'automatisation open source avec capacités IA. Alternative à Power Automate/Zapier. Permet de créer des workflows connectant applications et modèles IA. Populaire pour sa flexibilité et son auto-hébergement.</v>
      </c>
    </row>
    <row r="78" spans="1:3" ht="43.5" x14ac:dyDescent="0.35">
      <c r="A78" s="52" t="str">
        <v>Ontologie</v>
      </c>
      <c r="B78" s="47" t="str">
        <v>Données</v>
      </c>
      <c r="C78" s="36" t="str">
        <v>Modèle formel définissant les concepts d'un domaine et leurs relations. Fournit un schéma structuré pour organiser les connaissances. Utilisée avec les Knowledge Graphs pour le raisonnement IA.</v>
      </c>
    </row>
    <row r="79" spans="1:3" ht="43.5" x14ac:dyDescent="0.35">
      <c r="A79" s="52" t="str">
        <v>OpenAI</v>
      </c>
      <c r="B79" s="47" t="str">
        <v>Généralité</v>
      </c>
      <c r="C79" s="36" t="str">
        <v>Entreprise d'IA créatrice de GPT, DALL-E, Whisper et ChatGPT. Partenaire stratégique de Microsoft. Pionnière de l'IA générative grand public et des modèles de raisonnement (o1, o3).</v>
      </c>
    </row>
    <row r="80" spans="1:3" ht="58" x14ac:dyDescent="0.35">
      <c r="A80" s="52" t="str">
        <v>Operator (OpenAI)</v>
      </c>
      <c r="B80" s="47" t="str">
        <v>Agentique</v>
      </c>
      <c r="C80" s="36" t="str">
        <v>Agent IA d'OpenAI capable de naviguer sur le web, cliquer, remplir des formulaires et exécuter des tâches dans un navigateur. Représente l'évolution vers des agents autonomes capables d'agir dans le monde numérique.</v>
      </c>
    </row>
    <row r="81" spans="1:3" ht="116" x14ac:dyDescent="0.35">
      <c r="A81" s="52" t="str">
        <v>Orchestration</v>
      </c>
      <c r="B81" s="47" t="str">
        <v>Agentique</v>
      </c>
      <c r="C81" s="36" t="str">
        <v>Coordination :
agents
outils
workflows
L'Agent Academy Microsoft cite explicitement l'orchestration comme un concept à comprendre pour construire des agents.</v>
      </c>
    </row>
    <row r="82" spans="1:3" ht="43.5" x14ac:dyDescent="0.35">
      <c r="A82" s="52" t="str">
        <v>Perplexity (métrique)</v>
      </c>
      <c r="B82" s="47" t="str">
        <v>Architecture</v>
      </c>
      <c r="C82" s="36" t="str">
        <v>Métrique mesurant la qualité d'un modèle de langage. Plus la perplexité est basse, meilleur est le modèle. Indique à quel point le modèle est "surpris" par le texte qu'il prédit.</v>
      </c>
    </row>
    <row r="83" spans="1:3" ht="43.5" x14ac:dyDescent="0.35">
      <c r="A83" s="52" t="str">
        <v>Planning (IA)</v>
      </c>
      <c r="B83" s="47" t="str">
        <v>Agentique</v>
      </c>
      <c r="C83" s="36" t="str">
        <v>Capacité d'un agent IA à décomposer un objectif complexe en étapes, établir un plan d'action et l'adapter en fonction des résultats. Composant clé de l'IA agentique.</v>
      </c>
    </row>
    <row r="84" spans="1:3" ht="43.5" x14ac:dyDescent="0.35">
      <c r="A84" s="52" t="str">
        <v>Plugins (Copilot)</v>
      </c>
      <c r="B84" s="47" t="str">
        <v>Copilot</v>
      </c>
      <c r="C84" s="36" t="str">
        <v>Extensions qui ajoutent des capacités à Copilot. Peuvent être des actions (envoyer un email, créer une tâche) ou des sources de connaissances. Développés via Copilot Studio ou code.</v>
      </c>
    </row>
    <row r="85" spans="1:3" x14ac:dyDescent="0.35">
      <c r="A85" s="52" t="str">
        <v>Power Automate</v>
      </c>
      <c r="B85" s="47" t="str">
        <v>Copilot</v>
      </c>
      <c r="C85" s="36" t="str">
        <v>Automatisation des processus.</v>
      </c>
    </row>
    <row r="86" spans="1:3" ht="333.5" x14ac:dyDescent="0.35">
      <c r="A86" s="52" t="str">
        <v>Prompt</v>
      </c>
      <c r="B86" s="47" t="str">
        <v>Prompting</v>
      </c>
      <c r="C86" s="36" t="str">
        <v>Pour réaliser un bon prompt, vous avez besoin, d'un contexte, d'un objectif, d'identifier la source et de définir les attentes.
Fournir un contexte : pourquoi en avez-vous besoin et qui est impliqué ? Décrivez la situation, que vous soyez en train de préparer une réunion cliente, d’analyser un rapport trimestriel ou de créer une présentation de la direction. Contrairement à la recherche traditionnelle, Copilot répond le mieux aux invites détaillées et descriptives.
Décrire un objectif : Que voulez-vous que Copilot fasse ? Spécifiez la sortie : un résumé, un premier brouillon, une liste d’éléments d’action, une visualisation de données. Si vous avez un format à l’esprit, décrivez-le.
Définir une source : Où doit se trouver Copilot ? Référencez des fichiers, des e-mails, des réunions ou des notes de réunion spécifiques afin que Copilot extrait le contenu approprié. Avec votre licence Microsoft 365 Copilot, vous pouvez référencer vos données professionnelles (e-mails, réunions et fichiers) directement dans vos invites.
Définir les attentes : Comment Copilot doit-il répondre ? Spécifiez l’audience, le ton, la longueur ou la structure. Une réponse pour la haute direction se lit différemment d’une réponse pour une mise à jour de l’équipe de projet.</v>
      </c>
    </row>
    <row r="87" spans="1:3" ht="43.5" x14ac:dyDescent="0.35">
      <c r="A87" s="52" t="str">
        <v>Prompt Engineering</v>
      </c>
      <c r="B87" s="47" t="str">
        <v>Prompting</v>
      </c>
      <c r="C87" s="36" t="str">
        <v>Discipline consistant à concevoir et optimiser les prompts pour obtenir les meilleures réponses des LLM. Inclut la structuration, le contexte, les exemples et les contraintes.</v>
      </c>
    </row>
    <row r="88" spans="1:3" ht="43.5" x14ac:dyDescent="0.35">
      <c r="A88" s="52" t="str">
        <v>Purview</v>
      </c>
      <c r="B88" s="47" t="str">
        <v>Sécurité</v>
      </c>
      <c r="C88" s="36" t="str">
        <v>Suite Microsoft de gouvernance des données et de conformité. Inclut la classification des données, la protection des informations, la gestion des risques et l'audit. Essentiel pour sécuriser l'usage de Copilot.</v>
      </c>
    </row>
    <row r="89" spans="1:3" ht="43.5" x14ac:dyDescent="0.35">
      <c r="A89" s="52" t="str">
        <v>Quantization</v>
      </c>
      <c r="B89" s="47" t="str">
        <v>Architecture</v>
      </c>
      <c r="C89" s="36" t="str">
        <v>Technique de compression des modèles IA en réduisant la précision des poids (ex: float32 → int8). Permet de déployer des modèles sur des appareils à ressources limitées avec une perte de qualité minimale.</v>
      </c>
    </row>
    <row r="90" spans="1:3" ht="130.5" x14ac:dyDescent="0.35">
      <c r="A90" s="52" t="str">
        <v>RAG</v>
      </c>
      <c r="B90" s="47" t="str">
        <v>Architecture</v>
      </c>
      <c r="C90" s="36" t="str">
        <v>Retrieval Augmented Generation.
Question
↓
Recherche documentaire
↓
LLM
↓
Réponse basée sur les documents</v>
      </c>
    </row>
    <row r="91" spans="1:3" ht="43.5" x14ac:dyDescent="0.35">
      <c r="A91" s="52" t="str">
        <v>ReAct</v>
      </c>
      <c r="B91" s="47" t="str">
        <v>Pattern</v>
      </c>
      <c r="C91" s="36" t="str">
        <v>Pattern d'agent IA combinant Reasoning (raisonnement) et Acting (action). L'agent alterne entre réflexion sur la situation et exécution d'actions, puis observe les résultats pour ajuster son approche.</v>
      </c>
    </row>
    <row r="92" spans="1:3" ht="43.5" x14ac:dyDescent="0.35">
      <c r="A92" s="52" t="str">
        <v>Recall</v>
      </c>
      <c r="B92" s="47" t="str">
        <v>Copilot</v>
      </c>
      <c r="C92" s="36" t="str">
        <v>Fonctionnalité Windows/Copilot qui capture des "snapshots" de l'activité de l'écran pour permettre une recherche sémantique dans l'historique. Permet de retrouver ce que vous avez vu/fait sur votre PC.</v>
      </c>
    </row>
    <row r="93" spans="1:3" ht="130.5" x14ac:dyDescent="0.35">
      <c r="A93" s="52" t="str">
        <v>Responsible AI</v>
      </c>
      <c r="B93" s="47" t="str">
        <v>Sécurité</v>
      </c>
      <c r="C93" s="36" t="str">
        <v>Cadre de principes Microsoft pour une IA éthique et responsable.
Piliers :
• Équité
• Fiabilité et sécurité
• Confidentialité
• Inclusivité
• Transparence
• Responsabilité</v>
      </c>
    </row>
    <row r="94" spans="1:3" ht="43.5" x14ac:dyDescent="0.35">
      <c r="A94" s="52" t="str">
        <v>RLHF</v>
      </c>
      <c r="B94" s="47" t="str">
        <v>Modèle</v>
      </c>
      <c r="C94" s="36" t="str">
        <v>Reinforcement Learning from Human Feedback. Technique d'entraînement où des évaluateurs humains notent les réponses du modèle pour l'aligner sur les préférences humaines (utilité, sécurité, honnêteté).</v>
      </c>
    </row>
    <row r="95" spans="1:3" ht="43.5" x14ac:dyDescent="0.35">
      <c r="A95" s="52" t="str">
        <v>Role Prompting</v>
      </c>
      <c r="B95" s="47" t="str">
        <v>Prompting</v>
      </c>
      <c r="C95" s="36" t="str">
        <v>Technique consistant à assigner un rôle ou une persona au modèle ("Tu es un expert en..."). Influence le ton, le niveau de détail et l'expertise des réponses.</v>
      </c>
    </row>
    <row r="96" spans="1:3" ht="43.5" x14ac:dyDescent="0.35">
      <c r="A96" s="52" t="str">
        <v>Self-Consistency</v>
      </c>
      <c r="B96" s="47" t="str">
        <v>Pattern</v>
      </c>
      <c r="C96" s="36" t="str">
        <v>Technique de prompting où l'on génère plusieurs réponses avec raisonnement, puis on sélectionne la réponse la plus fréquente. Améliore la fiabilité sur les problèmes de raisonnement.</v>
      </c>
    </row>
    <row r="97" spans="1:3" ht="58" x14ac:dyDescent="0.35">
      <c r="A97" s="52" t="str">
        <v>Semantic Kernel</v>
      </c>
      <c r="B97" s="47" t="str">
        <v>Outil</v>
      </c>
      <c r="C97" s="36" t="str">
        <v>Framework open source de Microsoft pour intégrer des LLM dans des applications. Il permet d'orchestrer des plugins, des prompts et des connecteurs pour créer des agents IA. C'est le moteur sous-jacent de nombreuses fonctionnalités Copilot.</v>
      </c>
    </row>
    <row r="98" spans="1:3" ht="43.5" x14ac:dyDescent="0.35">
      <c r="A98" s="52" t="str">
        <v>Semantic Search</v>
      </c>
      <c r="B98" s="47" t="str">
        <v>Données</v>
      </c>
      <c r="C98" s="36" t="str">
        <v>Recherche basée sur le sens et l'intention plutôt que sur la correspondance exacte de mots-clés. Utilise les embeddings pour trouver des résultats conceptuellement similaires à la requête.</v>
      </c>
    </row>
    <row r="99" spans="1:3" ht="43.5" x14ac:dyDescent="0.35">
      <c r="A99" s="52" t="str">
        <v>Sensitivity Labels</v>
      </c>
      <c r="B99" s="47" t="str">
        <v>Sécurité</v>
      </c>
      <c r="C99" s="36" t="str">
        <v>Étiquettes de confidentialité Microsoft 365 (Public, Interne, Confidentiel, Très confidentiel). Copilot respecte ces étiquettes et ne peut pas accéder aux contenus au-delà des permissions de l'utilisateur.</v>
      </c>
    </row>
    <row r="100" spans="1:3" ht="43.5" x14ac:dyDescent="0.35">
      <c r="A100" s="52" t="str">
        <v>SharePoint Premium</v>
      </c>
      <c r="B100" s="47" t="str">
        <v>Copilot</v>
      </c>
      <c r="C100" s="36" t="str">
        <v>Ensemble de fonctionnalités IA avancées pour SharePoint (anciennement Syntex). Inclut le traitement intelligent des documents, la classification automatique et l'extraction de métadonnées par IA.</v>
      </c>
    </row>
    <row r="101" spans="1:3" ht="43.5" x14ac:dyDescent="0.35">
      <c r="A101" s="52" t="str">
        <v>Similarity Search</v>
      </c>
      <c r="B101" s="47" t="str">
        <v>Données</v>
      </c>
      <c r="C101" s="36" t="str">
        <v>Recherche de vecteurs (embeddings) similaires dans une base vectorielle. Utilise des métriques de distance (cosine, euclidienne) pour trouver les documents les plus proches sémantiquement.</v>
      </c>
    </row>
    <row r="102" spans="1:3" ht="130.5" x14ac:dyDescent="0.35">
      <c r="A102" s="52" t="str">
        <v>SLM (Small Language Model) – 4e génération</v>
      </c>
      <c r="B102" s="47" t="str">
        <v>Type de modèle IA</v>
      </c>
      <c r="C102" s="36" t="str">
        <v>Modèles de langage plus petits et optimisés pour des tâches spécifiques ou des environnements contraints.
Exemples :
• Microsoft Phi-3/Phi-4
• Google Gemma
• Meta Llama 3.2 (versions légères)
Avantages : rapidité, coût réduit, déploiement local possible.</v>
      </c>
    </row>
    <row r="103" spans="1:3" ht="43.5" x14ac:dyDescent="0.35">
      <c r="A103" s="52" t="str">
        <v>SPARQL</v>
      </c>
      <c r="B103" s="47" t="str">
        <v>Données</v>
      </c>
      <c r="C103" s="36" t="str">
        <v>Langage de requête pour interroger des bases de données RDF et des graphes de connaissances. Équivalent de SQL pour les données liées. Utilisé avec les ontologies et Knowledge Graphs.</v>
      </c>
    </row>
    <row r="104" spans="1:3" ht="43.5" x14ac:dyDescent="0.35">
      <c r="A104" s="52" t="str">
        <v>System Prompt</v>
      </c>
      <c r="B104" s="47" t="str">
        <v>Prompting</v>
      </c>
      <c r="C104" s="36" t="str">
        <v>Instructions initiales données au modèle pour définir son comportement, son rôle, ses contraintes et son style de réponse. Aussi appelé "system message" ou "instructions système". Non visible par l'utilisateur final.</v>
      </c>
    </row>
    <row r="105" spans="1:3" ht="58" x14ac:dyDescent="0.35">
      <c r="A105" s="52" t="str">
        <v>Température</v>
      </c>
      <c r="B105" s="47" t="str">
        <v>Modèle</v>
      </c>
      <c r="C105" s="36" t="str">
        <v>Paramètre déterminant :
créativité
stabilité</v>
      </c>
    </row>
    <row r="106" spans="1:3" x14ac:dyDescent="0.35">
      <c r="A106" s="52" t="str">
        <v>Token</v>
      </c>
      <c r="B106" s="47" t="str">
        <v>Modèle</v>
      </c>
      <c r="C106" s="36" t="str">
        <v>Unité de texte utilisée par le modèle.</v>
      </c>
    </row>
    <row r="107" spans="1:3" ht="43.5" x14ac:dyDescent="0.35">
      <c r="A107" s="52" t="str">
        <v>Tokenization</v>
      </c>
      <c r="B107" s="47" t="str">
        <v>Architecture</v>
      </c>
      <c r="C107" s="36" t="str">
        <v>Processus de découpage d'un texte en tokens (unités de base) pour le traitement par un LLM. Différents tokenizers existent (BPE, WordPiece, SentencePiece). Un mot peut correspondre à 1 ou plusieurs tokens.</v>
      </c>
    </row>
    <row r="108" spans="1:3" ht="72.5" x14ac:dyDescent="0.35">
      <c r="A108" s="52" t="str">
        <v>Tool Calling</v>
      </c>
      <c r="B108" s="47" t="str">
        <v>Agentique</v>
      </c>
      <c r="C108" s="36" t="str">
        <v>Capacité d'un agent à appeler :
API ;
base de données ;
outil métier.</v>
      </c>
    </row>
    <row r="109" spans="1:3" ht="43.5" x14ac:dyDescent="0.35">
      <c r="A109" s="52" t="str">
        <v>Transformer</v>
      </c>
      <c r="B109" s="47" t="str">
        <v>Architecture</v>
      </c>
      <c r="C109" s="36" t="str">
        <v>Architecture de réseau de neurones introduite en 2017 ("Attention is All You Need"). Base de tous les LLM modernes (GPT, Claude, Gemini, Llama). Utilise le mécanisme d'attention pour traiter les séquences en parallèle.</v>
      </c>
    </row>
    <row r="110" spans="1:3" ht="43.5" x14ac:dyDescent="0.35">
      <c r="A110" s="52" t="str">
        <v>Tree of Thought (ToT)</v>
      </c>
      <c r="B110" s="47" t="str">
        <v>Pattern</v>
      </c>
      <c r="C110" s="36" t="str">
        <v>Évolution du Chain of Thought. Le modèle explore plusieurs branches de raisonnement en parallèle, évalue chaque chemin et sélectionne le plus prometteur. Utile pour les problèmes complexes.</v>
      </c>
    </row>
    <row r="111" spans="1:3" x14ac:dyDescent="0.35">
      <c r="A111" s="52" t="str">
        <v>Vector Database</v>
      </c>
      <c r="B111" s="47" t="str">
        <v>Données</v>
      </c>
      <c r="C111" s="36" t="str">
        <v>Base utilisée pour stocker les embeddings.</v>
      </c>
    </row>
    <row r="112" spans="1:3" ht="72.5" x14ac:dyDescent="0.35">
      <c r="A112" s="52" t="str">
        <v>Work IQ</v>
      </c>
      <c r="B112" s="47" t="str">
        <v>Copilot</v>
      </c>
      <c r="C112" s="36" t="str">
        <v>Work IQ est une couche de veille sur l’espace de travail qui permet aux agents d’accéder aux données, au contexte et aux outils de l’organisation et de les raisonner. Il crée en permanence une compréhension sémantique sur Microsoft 365 et les systèmes externes avec une gouvernance intégrée et prenant en charge les autorisations.</v>
      </c>
    </row>
    <row r="113" spans="1:4" ht="43.5" x14ac:dyDescent="0.35">
      <c r="A113" s="52" t="str">
        <v>Zero-shot Learning</v>
      </c>
      <c r="B113" s="47" t="str">
        <v>Prompting</v>
      </c>
      <c r="C113" s="36" t="str">
        <v>Capacité d'un modèle à accomplir une tâche sans aucun exemple préalable, uniquement à partir des instructions. Le modèle généralise à partir de son entraînement initial.</v>
      </c>
    </row>
    <row r="114" spans="1:4" x14ac:dyDescent="0.35">
      <c r="A114" s="32"/>
      <c r="B114" s="32"/>
      <c r="C114" s="32"/>
    </row>
    <row r="115" spans="1:4" x14ac:dyDescent="0.35">
      <c r="A115" s="32"/>
      <c r="B115" s="32"/>
      <c r="C115" s="32"/>
    </row>
    <row r="116" spans="1:4" ht="2" customHeight="1" x14ac:dyDescent="0.35"/>
    <row r="117" spans="1:4" ht="2" customHeight="1" x14ac:dyDescent="0.35"/>
    <row r="118" spans="1:4" s="2" customFormat="1" ht="2" customHeight="1" x14ac:dyDescent="0.35">
      <c r="A118"/>
      <c r="B118"/>
      <c r="C118"/>
      <c r="D118"/>
    </row>
    <row r="119" spans="1:4" ht="2" customHeight="1" x14ac:dyDescent="0.35"/>
    <row r="120" spans="1:4" ht="2" customHeight="1" x14ac:dyDescent="0.35"/>
    <row r="121" spans="1:4" ht="2" customHeight="1" x14ac:dyDescent="0.35"/>
    <row r="122" spans="1:4" ht="2" customHeight="1" x14ac:dyDescent="0.35"/>
    <row r="123" spans="1:4" ht="2" customHeight="1" x14ac:dyDescent="0.35"/>
    <row r="124" spans="1:4" ht="2" customHeight="1" x14ac:dyDescent="0.35"/>
    <row r="125" spans="1:4" ht="2" customHeight="1" x14ac:dyDescent="0.35"/>
    <row r="126" spans="1:4" ht="2" customHeight="1" x14ac:dyDescent="0.35"/>
    <row r="127" spans="1:4" ht="2" customHeight="1" x14ac:dyDescent="0.35"/>
    <row r="128" spans="1:4" ht="2" customHeight="1" x14ac:dyDescent="0.35"/>
    <row r="129" ht="2" customHeight="1" x14ac:dyDescent="0.35"/>
    <row r="130" ht="2" customHeight="1" x14ac:dyDescent="0.35"/>
    <row r="131" ht="2" customHeight="1" x14ac:dyDescent="0.35"/>
    <row r="132" ht="2" customHeight="1" x14ac:dyDescent="0.35"/>
    <row r="133" ht="2" customHeight="1" x14ac:dyDescent="0.35"/>
    <row r="134" ht="2" customHeight="1" x14ac:dyDescent="0.35"/>
    <row r="135" ht="2" customHeight="1" x14ac:dyDescent="0.35"/>
    <row r="136" ht="2" customHeight="1" x14ac:dyDescent="0.35"/>
    <row r="137" ht="2" customHeight="1" x14ac:dyDescent="0.35"/>
    <row r="138" ht="2" customHeight="1" x14ac:dyDescent="0.35"/>
    <row r="139" ht="2" customHeight="1" x14ac:dyDescent="0.35"/>
    <row r="140" ht="2" customHeight="1" x14ac:dyDescent="0.35"/>
    <row r="141" ht="2" customHeight="1" x14ac:dyDescent="0.35"/>
    <row r="142" ht="2" customHeight="1" x14ac:dyDescent="0.35"/>
    <row r="143" ht="2" customHeight="1" x14ac:dyDescent="0.35"/>
    <row r="144" ht="2" customHeight="1" x14ac:dyDescent="0.35"/>
    <row r="145" ht="2" customHeight="1" x14ac:dyDescent="0.35"/>
    <row r="146" ht="2" customHeight="1" x14ac:dyDescent="0.35"/>
    <row r="147" ht="2" customHeight="1" x14ac:dyDescent="0.35"/>
    <row r="148" ht="2" customHeight="1" x14ac:dyDescent="0.35"/>
    <row r="149" ht="2" customHeight="1" x14ac:dyDescent="0.35"/>
    <row r="150" ht="2" customHeight="1" x14ac:dyDescent="0.35"/>
    <row r="151" ht="2" customHeight="1" x14ac:dyDescent="0.35"/>
    <row r="152" ht="2" customHeight="1" x14ac:dyDescent="0.35"/>
    <row r="153" ht="2" customHeight="1" x14ac:dyDescent="0.35"/>
    <row r="154" ht="2" customHeight="1" x14ac:dyDescent="0.35"/>
    <row r="155" ht="2" customHeight="1" x14ac:dyDescent="0.35"/>
    <row r="156" ht="2" customHeight="1" x14ac:dyDescent="0.35"/>
    <row r="157" ht="2" customHeight="1" x14ac:dyDescent="0.35"/>
    <row r="158" ht="2" customHeight="1" x14ac:dyDescent="0.35"/>
    <row r="159" ht="2" customHeight="1" x14ac:dyDescent="0.35"/>
    <row r="160" ht="2" customHeight="1" x14ac:dyDescent="0.35"/>
    <row r="161" ht="2" customHeight="1" x14ac:dyDescent="0.35"/>
    <row r="162" ht="2" customHeight="1" x14ac:dyDescent="0.35"/>
    <row r="163" ht="2" customHeight="1" x14ac:dyDescent="0.35"/>
    <row r="164" ht="2" customHeight="1" x14ac:dyDescent="0.35"/>
    <row r="165" ht="2" customHeight="1" x14ac:dyDescent="0.35"/>
    <row r="166" ht="2" customHeight="1" x14ac:dyDescent="0.35"/>
    <row r="167" ht="2" customHeight="1" x14ac:dyDescent="0.35"/>
    <row r="168" ht="2" customHeight="1" x14ac:dyDescent="0.35"/>
    <row r="169" ht="2" customHeight="1" x14ac:dyDescent="0.35"/>
    <row r="170" ht="2" customHeight="1" x14ac:dyDescent="0.35"/>
    <row r="171" ht="2" customHeight="1" x14ac:dyDescent="0.35"/>
    <row r="172" ht="2" customHeight="1" x14ac:dyDescent="0.35"/>
    <row r="173" ht="2" customHeight="1" x14ac:dyDescent="0.35"/>
    <row r="174" ht="2" customHeight="1" x14ac:dyDescent="0.35"/>
    <row r="175" ht="2" customHeight="1" x14ac:dyDescent="0.35"/>
    <row r="176" ht="2" customHeight="1" x14ac:dyDescent="0.35"/>
    <row r="177" ht="2" customHeight="1" x14ac:dyDescent="0.35"/>
    <row r="178" ht="2" customHeight="1" x14ac:dyDescent="0.35"/>
    <row r="179" ht="2" customHeight="1" x14ac:dyDescent="0.35"/>
    <row r="180" ht="2" customHeight="1" x14ac:dyDescent="0.35"/>
    <row r="181" ht="2" customHeight="1" x14ac:dyDescent="0.35"/>
    <row r="182" ht="2" customHeight="1" x14ac:dyDescent="0.35"/>
    <row r="183" ht="2" customHeight="1" x14ac:dyDescent="0.35"/>
    <row r="184" ht="2" customHeight="1" x14ac:dyDescent="0.35"/>
    <row r="185" ht="2" customHeight="1" x14ac:dyDescent="0.35"/>
    <row r="186" ht="2" customHeight="1" x14ac:dyDescent="0.35"/>
    <row r="187" ht="2" customHeight="1" x14ac:dyDescent="0.35"/>
    <row r="188" ht="2" customHeight="1" x14ac:dyDescent="0.35"/>
    <row r="189" ht="2" customHeight="1" x14ac:dyDescent="0.35"/>
    <row r="190" ht="2" customHeight="1" x14ac:dyDescent="0.35"/>
    <row r="191" ht="2" customHeight="1" x14ac:dyDescent="0.35"/>
    <row r="192" ht="2" customHeight="1" x14ac:dyDescent="0.35"/>
    <row r="193" ht="2" customHeight="1" x14ac:dyDescent="0.35"/>
    <row r="194" ht="2" customHeight="1" x14ac:dyDescent="0.35"/>
    <row r="195" ht="2" customHeight="1" x14ac:dyDescent="0.35"/>
    <row r="196" ht="2" customHeight="1" x14ac:dyDescent="0.35"/>
    <row r="197" ht="2" customHeight="1" x14ac:dyDescent="0.35"/>
    <row r="198" ht="2" customHeight="1" x14ac:dyDescent="0.35"/>
    <row r="199" ht="2" customHeight="1" x14ac:dyDescent="0.35"/>
    <row r="200" ht="2" customHeight="1" x14ac:dyDescent="0.35"/>
    <row r="201" ht="2" customHeight="1" x14ac:dyDescent="0.35"/>
    <row r="202" ht="2" customHeight="1" x14ac:dyDescent="0.35"/>
    <row r="203" ht="2" customHeight="1" x14ac:dyDescent="0.35"/>
    <row r="204" ht="2" customHeight="1" x14ac:dyDescent="0.35"/>
    <row r="205" ht="2" customHeight="1" x14ac:dyDescent="0.35"/>
    <row r="206" ht="2" customHeight="1" x14ac:dyDescent="0.35"/>
    <row r="207" ht="2" customHeight="1" x14ac:dyDescent="0.35"/>
    <row r="208" ht="2" customHeight="1" x14ac:dyDescent="0.35"/>
    <row r="209" ht="2" customHeight="1" x14ac:dyDescent="0.35"/>
    <row r="210" ht="2" customHeight="1" x14ac:dyDescent="0.35"/>
    <row r="211" ht="2" customHeight="1" x14ac:dyDescent="0.35"/>
    <row r="212" ht="2" customHeight="1" x14ac:dyDescent="0.35"/>
    <row r="213" ht="2" customHeight="1" x14ac:dyDescent="0.35"/>
    <row r="214" ht="2" customHeight="1" x14ac:dyDescent="0.35"/>
    <row r="215" ht="2" customHeight="1" x14ac:dyDescent="0.35"/>
    <row r="216" ht="2" customHeight="1" x14ac:dyDescent="0.35"/>
    <row r="217" ht="2" customHeight="1" x14ac:dyDescent="0.35"/>
    <row r="218" ht="2" customHeight="1" x14ac:dyDescent="0.35"/>
    <row r="219" ht="2" customHeight="1" x14ac:dyDescent="0.35"/>
    <row r="220" ht="2" customHeight="1" x14ac:dyDescent="0.35"/>
    <row r="221" ht="2" customHeight="1" x14ac:dyDescent="0.35"/>
    <row r="222" ht="2" customHeight="1" x14ac:dyDescent="0.35"/>
    <row r="223" ht="2" customHeight="1" x14ac:dyDescent="0.35"/>
    <row r="224" ht="2" customHeight="1" x14ac:dyDescent="0.35"/>
  </sheetData>
  <autoFilter ref="A7:C7" xr:uid="{4072158C-72F9-48D7-8B2B-782B6258A08C}"/>
  <mergeCells count="5">
    <mergeCell ref="A1:C1"/>
    <mergeCell ref="A2:C2"/>
    <mergeCell ref="B4:C4"/>
    <mergeCell ref="A5:C5"/>
    <mergeCell ref="A3:C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D6B6A-9C88-437B-9105-B87C9D5C1BBC}">
  <sheetPr>
    <tabColor rgb="FF58FCEC"/>
  </sheetPr>
  <dimension ref="A1:O61"/>
  <sheetViews>
    <sheetView showGridLines="0" topLeftCell="F1" workbookViewId="0">
      <pane ySplit="7" topLeftCell="A8" activePane="bottomLeft" state="frozen"/>
      <selection pane="bottomLeft" activeCell="A17" sqref="A17"/>
    </sheetView>
  </sheetViews>
  <sheetFormatPr baseColWidth="10" defaultRowHeight="14.5" x14ac:dyDescent="0.35"/>
  <cols>
    <col min="1" max="1" width="18.1796875" customWidth="1"/>
    <col min="2" max="2" width="14.54296875" customWidth="1"/>
    <col min="3" max="3" width="38.1796875" customWidth="1"/>
    <col min="4" max="4" width="20.90625" customWidth="1"/>
    <col min="5" max="5" width="14.90625" customWidth="1"/>
    <col min="6" max="6" width="40" customWidth="1"/>
    <col min="7" max="7" width="14.90625" customWidth="1"/>
    <col min="8" max="8" width="12.7265625" customWidth="1"/>
    <col min="10" max="15" width="12.36328125" customWidth="1"/>
  </cols>
  <sheetData>
    <row r="1" spans="1:15" ht="42" customHeight="1" x14ac:dyDescent="0.35">
      <c r="A1" s="231" t="s">
        <v>2274</v>
      </c>
      <c r="B1" s="229"/>
      <c r="C1" s="229"/>
      <c r="D1" s="229"/>
      <c r="E1" s="229"/>
      <c r="F1" s="229"/>
      <c r="G1" s="229"/>
      <c r="H1" s="229"/>
      <c r="J1" s="211" t="s">
        <v>2328</v>
      </c>
      <c r="K1" s="210"/>
      <c r="L1" s="210"/>
      <c r="M1" s="210"/>
      <c r="N1" s="210"/>
      <c r="O1" s="210"/>
    </row>
    <row r="2" spans="1:15" ht="38" customHeight="1" x14ac:dyDescent="0.35">
      <c r="A2" s="233" t="s">
        <v>2275</v>
      </c>
      <c r="B2" s="232"/>
      <c r="C2" s="232"/>
      <c r="D2" s="232"/>
      <c r="E2" s="232"/>
      <c r="F2" s="232"/>
      <c r="G2" s="232"/>
      <c r="H2" s="232"/>
      <c r="J2" s="140" t="s">
        <v>2329</v>
      </c>
      <c r="K2" s="120"/>
      <c r="L2" s="120"/>
      <c r="M2" s="120"/>
      <c r="N2" s="120"/>
      <c r="O2" s="120"/>
    </row>
    <row r="3" spans="1:15" ht="18" customHeight="1" x14ac:dyDescent="0.35">
      <c r="A3" s="234" t="s">
        <v>2276</v>
      </c>
      <c r="B3" s="230"/>
      <c r="C3" s="230"/>
      <c r="D3" s="230"/>
      <c r="E3" s="230"/>
      <c r="F3" s="230"/>
      <c r="G3" s="230"/>
      <c r="H3" s="230"/>
      <c r="J3" s="85"/>
      <c r="K3" s="85"/>
      <c r="L3" s="85"/>
      <c r="M3" s="85"/>
      <c r="N3" s="85"/>
      <c r="O3" s="85"/>
    </row>
    <row r="4" spans="1:15" ht="20" customHeight="1" x14ac:dyDescent="0.35">
      <c r="A4" s="86" t="s">
        <v>2277</v>
      </c>
      <c r="B4" s="236"/>
      <c r="C4" s="235"/>
      <c r="D4" s="235"/>
      <c r="E4" s="235"/>
      <c r="F4" s="235"/>
      <c r="G4" s="235"/>
      <c r="H4" s="235"/>
      <c r="J4" s="253" t="s">
        <v>2330</v>
      </c>
      <c r="K4" s="253"/>
      <c r="L4" s="253"/>
      <c r="M4" s="253" t="s">
        <v>2332</v>
      </c>
      <c r="N4" s="253"/>
      <c r="O4" s="253"/>
    </row>
    <row r="5" spans="1:15" ht="22" customHeight="1" x14ac:dyDescent="0.35">
      <c r="A5" s="237" t="s">
        <v>2266</v>
      </c>
      <c r="B5" s="238" t="s">
        <v>2097</v>
      </c>
      <c r="C5" s="235"/>
      <c r="D5" s="240" t="s">
        <v>2267</v>
      </c>
      <c r="E5" s="239"/>
      <c r="F5" s="238" t="s">
        <v>2097</v>
      </c>
      <c r="G5" s="235"/>
      <c r="H5" s="235"/>
      <c r="J5" s="136" t="s">
        <v>2331</v>
      </c>
      <c r="K5" s="136"/>
      <c r="L5" s="136"/>
      <c r="M5" s="136" t="s">
        <v>2333</v>
      </c>
      <c r="N5" s="136"/>
      <c r="O5" s="136"/>
    </row>
    <row r="6" spans="1:15" ht="22" customHeight="1" x14ac:dyDescent="0.35">
      <c r="A6" s="242" t="s">
        <v>2278</v>
      </c>
      <c r="B6" s="241"/>
      <c r="C6" s="241"/>
      <c r="D6" s="241"/>
      <c r="E6" s="241"/>
      <c r="F6" s="241"/>
      <c r="G6" s="241"/>
      <c r="H6" s="241"/>
      <c r="J6" s="136"/>
      <c r="K6" s="136"/>
      <c r="L6" s="136"/>
      <c r="M6" s="136"/>
      <c r="N6" s="136"/>
      <c r="O6" s="136"/>
    </row>
    <row r="7" spans="1:15" ht="22" customHeight="1" x14ac:dyDescent="0.35">
      <c r="A7" s="243" t="s">
        <v>2279</v>
      </c>
      <c r="B7" s="244" t="s">
        <v>2266</v>
      </c>
      <c r="C7" s="244" t="s">
        <v>2280</v>
      </c>
      <c r="D7" s="244" t="s">
        <v>2281</v>
      </c>
      <c r="E7" s="245" t="s">
        <v>2267</v>
      </c>
      <c r="F7" s="246" t="s">
        <v>2282</v>
      </c>
      <c r="G7" s="246" t="s">
        <v>1352</v>
      </c>
      <c r="H7" s="246" t="s">
        <v>700</v>
      </c>
      <c r="J7" s="136"/>
      <c r="K7" s="136"/>
      <c r="L7" s="136"/>
      <c r="M7" s="136"/>
      <c r="N7" s="136"/>
      <c r="O7" s="136"/>
    </row>
    <row r="8" spans="1:15" ht="87" x14ac:dyDescent="0.35">
      <c r="A8" s="98" t="str" cm="1">
        <f t="array" ref="A8:H32">_xlfn.LET(_xlpm.q,LOWER(TRIM($B$4)),_xlpm.typeFilter,$B$5,_xlpm.autonomyFilter,$F$5,_xlpm.sourceData,Tableau5[#Data],_xlpm.agentNames,INDEX(_xlpm.sourceData,0,2),_xlpm.experienceTypes,INDEX(_xlpm.sourceData,0,14),_xlpm.descriptions,INDEX(_xlpm.sourceData,0,4),_xlpm.toolNames,INDEX(_xlpm.sourceData,0,3),_xlpm.autonomyLevels,INDEX(_xlpm.sourceData,0,15),_xlpm.usageExamples,INDEX(_xlpm.sourceData,0,5),_xlpm.usageMoments,INDEX(_xlpm.sourceData,0,6),_xlpm.availabilityValues,INDEX(_xlpm.sourceData,0,10),_xlpm.statusValues,INDEX(_xlpm.sourceData,0,13),_xlpm.searchText,LOWER(_xlpm.agentNames&amp;" "&amp;_xlpm.experienceTypes&amp;" "&amp;_xlpm.descriptions&amp;" "&amp;_xlpm.toolNames&amp;" "&amp;_xlpm.usageExamples&amp;" "&amp;_xlpm.usageMoments),_xlpm.allRows,--(_xlpm.agentNames&lt;&gt;""),_xlpm.keep,IF(_xlpm.q="",_xlpm.allRows,--ISNUMBER(SEARCH(_xlpm.q,_xlpm.searchText)))*IF(_xlpm.typeFilter="Tous",_xlpm.allRows,--(_xlpm.experienceTypes=_xlpm.typeFilter))*IF(_xlpm.autonomyFilter="Tous",_xlpm.allRows,--(_xlpm.autonomyLevels=_xlpm.autonomyFilter)),_xlpm.descriptionsOut,IF(LEN(_xlpm.descriptions)&gt;240,LEFT(_xlpm.descriptions,237)&amp;"…",_xlpm.descriptions),_xlpm.result,_xlfn.HSTACK(_xlpm.agentNames,_xlpm.experienceTypes,_xlpm.descriptionsOut,_xlpm.toolNames,_xlpm.autonomyLevels,_xlpm.usageMoments,_xlpm.availabilityValues,_xlpm.statusValues),IFERROR(_xlfn._xlws.FILTER(_xlpm.result,_xlpm.keep),"Aucun résultat"))</f>
        <v>Idea Coach</v>
      </c>
      <c r="B8" s="98" t="str">
        <v>Assistant</v>
      </c>
      <c r="C8" s="98" t="str">
        <v>Aide les utilisateurs à développer et à affiner leurs idées et à améliorer leurs sessions de brainstorming. Le modèle d’agent Idea Coach utilise un ton amusant et collaboratif pour inspirer la créativité et garantir des interactions de b…</v>
      </c>
      <c r="D8" s="98" t="str">
        <v>PowerPoint / Copilot Chat</v>
      </c>
      <c r="E8" s="98" t="str">
        <v>Assistance</v>
      </c>
      <c r="F8" s="247" t="str">
        <v>Pour trouver des idées avant de commencer une présentation par exemple.</v>
      </c>
      <c r="G8" s="247" t="str">
        <v>À vérifier</v>
      </c>
      <c r="H8" s="247" t="str">
        <v>À tester</v>
      </c>
      <c r="J8" s="85"/>
      <c r="K8" s="85"/>
      <c r="L8" s="85"/>
      <c r="M8" s="85"/>
      <c r="N8" s="85"/>
      <c r="O8" s="85"/>
    </row>
    <row r="9" spans="1:15" ht="20" customHeight="1" x14ac:dyDescent="0.35">
      <c r="A9" s="98" t="str">
        <v>Writing Coach</v>
      </c>
      <c r="B9" s="98" t="str">
        <v>Assistant</v>
      </c>
      <c r="C9" s="98" t="str">
        <v>Fournit des commentaires sur la qualité de l’écriture, en mettant l’accent sur la clarté, la cohérence, la grammaire, le ton et le ciblage de l’audience.</v>
      </c>
      <c r="D9" s="98" t="str">
        <v>Word / Copilot Chat</v>
      </c>
      <c r="E9" s="98" t="str">
        <v>Assistance</v>
      </c>
      <c r="F9" s="247" t="str">
        <v>Utilisez cet agent comme dernière étape de révision après la modification de votre document.</v>
      </c>
      <c r="G9" s="247" t="str">
        <v>À vérifier</v>
      </c>
      <c r="H9" s="247" t="str">
        <v>À tester</v>
      </c>
      <c r="J9" s="253" t="s">
        <v>2334</v>
      </c>
      <c r="K9" s="253"/>
      <c r="L9" s="253"/>
      <c r="M9" s="253" t="s">
        <v>2336</v>
      </c>
      <c r="N9" s="253"/>
      <c r="O9" s="253"/>
    </row>
    <row r="10" spans="1:15" ht="22" customHeight="1" x14ac:dyDescent="0.35">
      <c r="A10" s="98" t="str">
        <v>Recherche</v>
      </c>
      <c r="B10" s="98" t="str">
        <v>Agent spécialisé</v>
      </c>
      <c r="C10" s="98" t="str">
        <v>Agent spécialisé dans la recherche d'informations dans les données Microsoft 365 de l'organisation (fichiers, emails, conversations Teams, sites SharePoint).</v>
      </c>
      <c r="D10" s="98" t="str">
        <v>Microsoft Search</v>
      </c>
      <c r="E10" s="98" t="str">
        <v>Action guidée</v>
      </c>
      <c r="F10" s="247" t="str">
        <v>Pour retrouver rapidement des informations dispersées dans votre environnement M365.</v>
      </c>
      <c r="G10" s="247" t="str">
        <v>À vérifier</v>
      </c>
      <c r="H10" s="247" t="str">
        <v>À tester</v>
      </c>
      <c r="J10" s="136" t="s">
        <v>2335</v>
      </c>
      <c r="K10" s="136"/>
      <c r="L10" s="136"/>
      <c r="M10" s="136" t="s">
        <v>2337</v>
      </c>
      <c r="N10" s="136"/>
      <c r="O10" s="136"/>
    </row>
    <row r="11" spans="1:15" ht="22" customHeight="1" x14ac:dyDescent="0.35">
      <c r="A11" s="98" t="str">
        <v>Analyste</v>
      </c>
      <c r="B11" s="98" t="str">
        <v>Agent spécialisé</v>
      </c>
      <c r="C11" s="98" t="str">
        <v>Agent d'analyse de données qui aide à interpréter des données, créer des visualisations et identifier des tendances dans les fichiers Excel et rapports Power BI.</v>
      </c>
      <c r="D11" s="98" t="str">
        <v>Excel / Power BI</v>
      </c>
      <c r="E11" s="98" t="str">
        <v>Action guidée</v>
      </c>
      <c r="F11" s="247" t="str">
        <v>Pour analyser des données complexes et obtenir des insights sans être expert en analyse.</v>
      </c>
      <c r="G11" s="247" t="str">
        <v>À vérifier</v>
      </c>
      <c r="H11" s="247" t="str">
        <v>À tester</v>
      </c>
      <c r="J11" s="136"/>
      <c r="K11" s="136"/>
      <c r="L11" s="136"/>
      <c r="M11" s="136"/>
      <c r="N11" s="136"/>
      <c r="O11" s="136"/>
    </row>
    <row r="12" spans="1:15" ht="22" customHeight="1" x14ac:dyDescent="0.35">
      <c r="A12" s="98" t="str">
        <v>Prompt Coach</v>
      </c>
      <c r="B12" s="98" t="str">
        <v>Assistant</v>
      </c>
      <c r="C12" s="98" t="str">
        <v>Agent qui aide les utilisateurs à formuler de meilleurs prompts pour obtenir des réponses plus pertinentes et précises de Copilot.</v>
      </c>
      <c r="D12" s="98" t="str">
        <v>Copilot Chat</v>
      </c>
      <c r="E12" s="98" t="str">
        <v>Assistance</v>
      </c>
      <c r="F12" s="247" t="str">
        <v>Quand vos prompts ne donnent pas les résultats attendus ou pour apprendre à mieux communiquer avec l'IA.</v>
      </c>
      <c r="G12" s="247" t="str">
        <v>Disponible</v>
      </c>
      <c r="H12" s="247" t="str">
        <v>À tester</v>
      </c>
      <c r="J12" s="136"/>
      <c r="K12" s="136"/>
      <c r="L12" s="136"/>
      <c r="M12" s="136"/>
      <c r="N12" s="136"/>
      <c r="O12" s="136"/>
    </row>
    <row r="13" spans="1:15" ht="72.5" x14ac:dyDescent="0.35">
      <c r="A13" s="98" t="str">
        <v>AI Learning Advisor</v>
      </c>
      <c r="B13" s="98" t="str">
        <v>Agent spécialisé</v>
      </c>
      <c r="C13" s="98" t="str">
        <v>Agent de conseil en formation qui recommande des parcours d'apprentissage personnalisés basés sur vos objectifs de carrière et compétences actuelles.</v>
      </c>
      <c r="D13" s="98" t="str">
        <v>Viva Learning</v>
      </c>
      <c r="E13" s="98" t="str">
        <v>Assistance</v>
      </c>
      <c r="F13" s="247" t="str">
        <v>Pour planifier votre montée en compétences et identifier les formations pertinentes.</v>
      </c>
      <c r="G13" s="247" t="str">
        <v>À vérifier</v>
      </c>
      <c r="H13" s="247" t="str">
        <v>À tester</v>
      </c>
      <c r="J13" s="85"/>
      <c r="K13" s="85"/>
      <c r="L13" s="85"/>
      <c r="M13" s="85"/>
      <c r="N13" s="85"/>
      <c r="O13" s="85"/>
    </row>
    <row r="14" spans="1:15" ht="20" customHeight="1" x14ac:dyDescent="0.35">
      <c r="A14" s="98" t="str">
        <v>PowerPoint</v>
      </c>
      <c r="B14" s="98" t="str">
        <v>Fonctionnalité IA</v>
      </c>
      <c r="C14" s="98" t="str">
        <v>Agent intégré à PowerPoint qui aide à créer, structurer et améliorer des présentations à partir de documents, notes ou instructions.</v>
      </c>
      <c r="D14" s="98" t="str">
        <v>PowerPoint</v>
      </c>
      <c r="E14" s="98" t="str">
        <v>Assistance</v>
      </c>
      <c r="F14" s="247" t="str">
        <v>Pour créer rapidement des présentations professionnelles ou transformer des documents en slides.</v>
      </c>
      <c r="G14" s="247" t="str">
        <v>À vérifier</v>
      </c>
      <c r="H14" s="247" t="str">
        <v>À tester</v>
      </c>
      <c r="J14" s="254" t="s">
        <v>2338</v>
      </c>
      <c r="K14" s="218"/>
      <c r="L14" s="218"/>
      <c r="M14" s="218"/>
      <c r="N14" s="218"/>
      <c r="O14" s="218"/>
    </row>
    <row r="15" spans="1:15" ht="24" customHeight="1" x14ac:dyDescent="0.35">
      <c r="A15" s="98" t="str">
        <v>Planner Agent</v>
      </c>
      <c r="B15" s="98" t="str">
        <v>Agent spécialisé</v>
      </c>
      <c r="C15" s="98" t="str">
        <v>Agent de gestion de projet qui aide à créer des plans, assigner des tâches, suivre l'avancement et organiser le travail d'équipe.</v>
      </c>
      <c r="D15" s="98" t="str">
        <v>Microsoft Planner</v>
      </c>
      <c r="E15" s="98" t="str">
        <v>Action guidée</v>
      </c>
      <c r="F15" s="247" t="str">
        <v>Pour organiser et suivre les projets d'équipe sans quitter la conversation.</v>
      </c>
      <c r="G15" s="247" t="str">
        <v>À vérifier</v>
      </c>
      <c r="H15" s="247" t="str">
        <v>À tester</v>
      </c>
      <c r="J15" s="120" t="s">
        <v>2339</v>
      </c>
      <c r="K15" s="120"/>
      <c r="L15" s="120"/>
      <c r="M15" s="120"/>
      <c r="N15" s="120"/>
      <c r="O15" s="120"/>
    </row>
    <row r="16" spans="1:15" ht="24" customHeight="1" x14ac:dyDescent="0.35">
      <c r="A16" s="98" t="str">
        <v>Sondage</v>
      </c>
      <c r="B16" s="98" t="str">
        <v>Agent spécialisé</v>
      </c>
      <c r="C16" s="98" t="str">
        <v>Agent qui aide à créer des sondages, questionnaires et formulaires de feedback, puis à analyser les résultats.</v>
      </c>
      <c r="D16" s="98" t="str">
        <v>Microsoft Forms</v>
      </c>
      <c r="E16" s="98" t="str">
        <v>Action guidée</v>
      </c>
      <c r="F16" s="247" t="str">
        <v>Pour collecter des feedbacks et opinions de manière structurée.</v>
      </c>
      <c r="G16" s="247" t="str">
        <v>À vérifier</v>
      </c>
      <c r="H16" s="247" t="str">
        <v>À tester</v>
      </c>
      <c r="J16" s="120"/>
      <c r="K16" s="120"/>
      <c r="L16" s="120"/>
      <c r="M16" s="120"/>
      <c r="N16" s="120"/>
      <c r="O16" s="120"/>
    </row>
    <row r="17" spans="1:15" ht="24" customHeight="1" x14ac:dyDescent="0.35">
      <c r="A17" s="98" t="str">
        <v>Word</v>
      </c>
      <c r="B17" s="98" t="str">
        <v>Fonctionnalité IA</v>
      </c>
      <c r="C17" s="98" t="str">
        <v>Agent intégré à Word qui aide à rédiger, reformuler, résumer et structurer des documents professionnels.</v>
      </c>
      <c r="D17" s="98" t="str">
        <v>Word</v>
      </c>
      <c r="E17" s="98" t="str">
        <v>Assistance</v>
      </c>
      <c r="F17" s="247" t="str">
        <v>Pour accélérer la rédaction et améliorer la qualité de vos documents.</v>
      </c>
      <c r="G17" s="247" t="str">
        <v>À vérifier</v>
      </c>
      <c r="H17" s="247" t="str">
        <v>À tester</v>
      </c>
      <c r="J17" s="120"/>
      <c r="K17" s="120"/>
      <c r="L17" s="120"/>
      <c r="M17" s="120"/>
      <c r="N17" s="120"/>
      <c r="O17" s="120"/>
    </row>
    <row r="18" spans="1:15" ht="24" customHeight="1" x14ac:dyDescent="0.35">
      <c r="A18" s="98" t="str">
        <v>Excel</v>
      </c>
      <c r="B18" s="98" t="str">
        <v>Fonctionnalité IA</v>
      </c>
      <c r="C18" s="98" t="str">
        <v>Agent intégré à Excel qui aide à analyser des données, créer des formules, générer des graphiques et automatiser des tâches.</v>
      </c>
      <c r="D18" s="98" t="str">
        <v>Excel</v>
      </c>
      <c r="E18" s="98" t="str">
        <v>Action guidée</v>
      </c>
      <c r="F18" s="247" t="str">
        <v>Pour manipuler des données et créer des analyses sans être expert Excel.</v>
      </c>
      <c r="G18" s="247" t="str">
        <v>À vérifier</v>
      </c>
      <c r="H18" s="247" t="str">
        <v>À tester</v>
      </c>
      <c r="J18" s="120"/>
      <c r="K18" s="120"/>
      <c r="L18" s="120"/>
      <c r="M18" s="120"/>
      <c r="N18" s="120"/>
      <c r="O18" s="120"/>
    </row>
    <row r="19" spans="1:15" ht="43.5" x14ac:dyDescent="0.35">
      <c r="A19" s="98" t="str">
        <v>Learning</v>
      </c>
      <c r="B19" s="98" t="str">
        <v>Agent spécialisé</v>
      </c>
      <c r="C19" s="98" t="str">
        <v>Agent qui recommande des contenus de formation pertinents et aide à organiser le temps d'apprentissage.</v>
      </c>
      <c r="D19" s="98" t="str">
        <v>Viva Learning</v>
      </c>
      <c r="E19" s="98" t="str">
        <v>Assistance</v>
      </c>
      <c r="F19" s="247" t="str">
        <v>Pour maintenir une culture d'apprentissage continu.</v>
      </c>
      <c r="G19" s="247" t="str">
        <v>À vérifier</v>
      </c>
      <c r="H19" s="247" t="str">
        <v>À tester</v>
      </c>
    </row>
    <row r="20" spans="1:15" ht="43.5" x14ac:dyDescent="0.35">
      <c r="A20" s="98" t="str">
        <v>🚀 Workflows (Frontier)</v>
      </c>
      <c r="B20" s="98" t="str">
        <v>Agent</v>
      </c>
      <c r="C20" s="98" t="str">
        <v>Agent avancé (Frontier) qui aide à créer et gérer des workflows automatisés connectant plusieurs applications M365.</v>
      </c>
      <c r="D20" s="98" t="str">
        <v>Power Automate</v>
      </c>
      <c r="E20" s="98" t="str">
        <v>Semi-autonome</v>
      </c>
      <c r="F20" s="247" t="str">
        <v>Pour automatiser des processus métier récurrents. (Agent Frontier = fonctionnalités avancées)</v>
      </c>
      <c r="G20" s="247" t="str">
        <v>Limité / dépend de l’offre</v>
      </c>
      <c r="H20" s="247" t="str">
        <v>À tester</v>
      </c>
    </row>
    <row r="21" spans="1:15" ht="43.5" x14ac:dyDescent="0.35">
      <c r="A21" s="98" t="str">
        <v>Sharepoint list agent</v>
      </c>
      <c r="B21" s="98" t="str">
        <v>Agent spécialisé</v>
      </c>
      <c r="C21" s="98" t="str">
        <v>Agent spécialisé dans la gestion des listes SharePoint : création, mise à jour, requêtes et automatisation.</v>
      </c>
      <c r="D21" s="98" t="str">
        <v>SharePoint</v>
      </c>
      <c r="E21" s="98" t="str">
        <v>Action guidée</v>
      </c>
      <c r="F21" s="247" t="str">
        <v>Pour gérer des données structurées dans SharePoint sans connaître les formules.</v>
      </c>
      <c r="G21" s="247" t="str">
        <v>À vérifier</v>
      </c>
      <c r="H21" s="247" t="str">
        <v>À tester</v>
      </c>
    </row>
    <row r="22" spans="1:15" ht="58" x14ac:dyDescent="0.35">
      <c r="A22" s="98" t="str">
        <v>SME Finder</v>
      </c>
      <c r="B22" s="98" t="str">
        <v>Agent spécialisé</v>
      </c>
      <c r="C22" s="98" t="str">
        <v>Agent qui identifie les experts (Subject Matter Experts) dans l'organisation sur un sujet donné, basé sur leurs contributions et interactions.</v>
      </c>
      <c r="D22" s="98" t="str">
        <v>Viva / Graph</v>
      </c>
      <c r="E22" s="98" t="str">
        <v>Action guidée</v>
      </c>
      <c r="F22" s="247" t="str">
        <v>Pour trouver rapidement la bonne personne à contacter sur un sujet spécifique.</v>
      </c>
      <c r="G22" s="247" t="str">
        <v>À vérifier</v>
      </c>
      <c r="H22" s="247" t="str">
        <v>À tester</v>
      </c>
    </row>
    <row r="23" spans="1:15" ht="58" x14ac:dyDescent="0.35">
      <c r="A23" s="98" t="str">
        <v>Sales</v>
      </c>
      <c r="B23" s="98" t="str">
        <v>Agent spécialisé</v>
      </c>
      <c r="C23" s="98" t="str">
        <v>Agent commercial qui aide à préparer des réunions clients, résumer des opportunités et suggérer des actions de suivi.</v>
      </c>
      <c r="D23" s="98" t="str">
        <v>Dynamics 365 / Viva Sales</v>
      </c>
      <c r="E23" s="98" t="str">
        <v>Action guidée</v>
      </c>
      <c r="F23" s="247" t="str">
        <v>Pour les commerciaux qui veulent être mieux préparés et plus efficaces.</v>
      </c>
      <c r="G23" s="247" t="str">
        <v>À vérifier</v>
      </c>
      <c r="H23" s="247" t="str">
        <v>À tester</v>
      </c>
    </row>
    <row r="24" spans="1:15" ht="43.5" x14ac:dyDescent="0.35">
      <c r="A24" s="98" t="str">
        <v>Agent de pages Sharepoint</v>
      </c>
      <c r="B24" s="98" t="str">
        <v>Agent spécialisé</v>
      </c>
      <c r="C24" s="98" t="str">
        <v>Agent qui aide à créer, structurer et optimiser des pages SharePoint pour la communication interne.</v>
      </c>
      <c r="D24" s="98" t="str">
        <v>SharePoint</v>
      </c>
      <c r="E24" s="98" t="str">
        <v>Action guidée</v>
      </c>
      <c r="F24" s="247" t="str">
        <v>Pour créer du contenu SharePoint engageant sans compétences en design.</v>
      </c>
      <c r="G24" s="247" t="str">
        <v>À vérifier</v>
      </c>
      <c r="H24" s="247" t="str">
        <v>À tester</v>
      </c>
    </row>
    <row r="25" spans="1:15" ht="58" x14ac:dyDescent="0.35">
      <c r="A25" s="98" t="str">
        <v>Career Coach</v>
      </c>
      <c r="B25" s="98" t="str">
        <v>Assistant</v>
      </c>
      <c r="C25" s="98" t="str">
        <v>Agent de coaching de carrière qui aide à définir des objectifs professionnels, préparer des entretiens et planifier des évolutions.</v>
      </c>
      <c r="D25" s="98" t="str">
        <v>Viva</v>
      </c>
      <c r="E25" s="98" t="str">
        <v>Assistance</v>
      </c>
      <c r="F25" s="247" t="str">
        <v>Pour réfléchir à votre développement de carrière avec un coach virtuel.</v>
      </c>
      <c r="G25" s="247" t="str">
        <v>À vérifier</v>
      </c>
      <c r="H25" s="247" t="str">
        <v>À tester</v>
      </c>
    </row>
    <row r="26" spans="1:15" ht="58" x14ac:dyDescent="0.35">
      <c r="A26" s="98" t="str">
        <v>🚀 Workforce Insight (Frontier)</v>
      </c>
      <c r="B26" s="98" t="str">
        <v>Agent spécialisé</v>
      </c>
      <c r="C26" s="98" t="str">
        <v>Agent avancé (Frontier) d'analyse RH qui fournit des insights sur le bien-être, la collaboration et la productivité des équipes.</v>
      </c>
      <c r="D26" s="98" t="str">
        <v>Viva Insights</v>
      </c>
      <c r="E26" s="98" t="str">
        <v>Action guidée</v>
      </c>
      <c r="F26" s="247" t="str">
        <v>Pour les managers qui veulent suivre le bien-être et l'efficacité de leur équipe. (Frontier)</v>
      </c>
      <c r="G26" s="247" t="str">
        <v>Limité / dépend de l’offre</v>
      </c>
      <c r="H26" s="247" t="str">
        <v>À tester</v>
      </c>
    </row>
    <row r="27" spans="1:15" ht="43.5" x14ac:dyDescent="0.35">
      <c r="A27" s="98" t="str">
        <v>Service</v>
      </c>
      <c r="B27" s="98" t="str">
        <v>Agent spécialisé</v>
      </c>
      <c r="C27" s="98" t="str">
        <v>Agent de support client qui aide à résoudre des tickets, accéder à la base de connaissances et suggérer des solutions.</v>
      </c>
      <c r="D27" s="98" t="str">
        <v>Dynamics 365 Service</v>
      </c>
      <c r="E27" s="98" t="str">
        <v>Action guidée</v>
      </c>
      <c r="F27" s="247" t="str">
        <v>Pour les équipes support qui veulent résoudre les demandes plus rapidement.</v>
      </c>
      <c r="G27" s="247" t="str">
        <v>À vérifier</v>
      </c>
      <c r="H27" s="247" t="str">
        <v>À tester</v>
      </c>
    </row>
    <row r="28" spans="1:15" ht="58" x14ac:dyDescent="0.35">
      <c r="A28" s="98" t="str">
        <v>🚀 Finance (Frontier)</v>
      </c>
      <c r="B28" s="98" t="str">
        <v>Agent spécialisé</v>
      </c>
      <c r="C28" s="98" t="str">
        <v>Agent avancé (Frontier) financier qui aide à analyser les données comptables, préparer des rapports et identifier des anomalies.</v>
      </c>
      <c r="D28" s="98" t="str">
        <v>Dynamics 365 Finance</v>
      </c>
      <c r="E28" s="98" t="str">
        <v>Action guidée</v>
      </c>
      <c r="F28" s="247" t="str">
        <v>Pour les équipes finance qui veulent automatiser l'analyse et le reporting. (Frontier)</v>
      </c>
      <c r="G28" s="247" t="str">
        <v>Limité / dépend de l’offre</v>
      </c>
      <c r="H28" s="247" t="str">
        <v>À tester</v>
      </c>
    </row>
    <row r="29" spans="1:15" ht="43.5" x14ac:dyDescent="0.35">
      <c r="A29" s="98" t="str">
        <v>Insights Agent</v>
      </c>
      <c r="B29" s="98" t="str">
        <v>Agent spécialisé</v>
      </c>
      <c r="C29" s="98" t="str">
        <v>Agent qui analyse vos habitudes de travail et suggère des améliorations pour votre productivité et bien-être.</v>
      </c>
      <c r="D29" s="98" t="str">
        <v>Viva Insights</v>
      </c>
      <c r="E29" s="98" t="str">
        <v>Assistance</v>
      </c>
      <c r="F29" s="247" t="str">
        <v>Pour optimiser votre temps et améliorer votre équilibre travail-vie personnelle.</v>
      </c>
      <c r="G29" s="247" t="str">
        <v>À vérifier</v>
      </c>
      <c r="H29" s="247" t="str">
        <v>À tester</v>
      </c>
    </row>
    <row r="30" spans="1:15" ht="43.5" x14ac:dyDescent="0.35">
      <c r="A30" s="98" t="str">
        <v>SharePoint Admin Agent</v>
      </c>
      <c r="B30" s="98" t="str">
        <v>Agent spécialisé</v>
      </c>
      <c r="C30" s="98" t="str">
        <v>Agent pour les administrateurs SharePoint qui aide à gérer les sites, permissions, quotas et politiques de gouvernance.</v>
      </c>
      <c r="D30" s="98" t="str">
        <v>SharePoint Admin Center</v>
      </c>
      <c r="E30" s="98" t="str">
        <v>Action guidée</v>
      </c>
      <c r="F30" s="247" t="str">
        <v>Pour les administrateurs SharePoint qui veulent simplifier la gouvernance.</v>
      </c>
      <c r="G30" s="247" t="str">
        <v>À vérifier</v>
      </c>
      <c r="H30" s="247" t="str">
        <v>À tester</v>
      </c>
    </row>
    <row r="31" spans="1:15" ht="58" x14ac:dyDescent="0.35">
      <c r="A31" s="98" t="str">
        <v>🚀 Sales Development (Frontier)</v>
      </c>
      <c r="B31" s="98" t="str">
        <v>Agent spécialisé</v>
      </c>
      <c r="C31" s="98" t="str">
        <v>Agent avancé (Frontier) de développement commercial qui aide à qualifier les leads, personnaliser les approches et optimiser le pipeline.</v>
      </c>
      <c r="D31" s="98" t="str">
        <v>Dynamics 365 Sales</v>
      </c>
      <c r="E31" s="98" t="str">
        <v>Action guidée</v>
      </c>
      <c r="F31" s="247" t="str">
        <v>Pour les équipes SDR/BDR qui veulent améliorer leur taux de conversion. (Frontier)</v>
      </c>
      <c r="G31" s="247" t="str">
        <v>Limité / dépend de l’offre</v>
      </c>
      <c r="H31" s="247" t="str">
        <v>À tester</v>
      </c>
    </row>
    <row r="32" spans="1:15" ht="58" x14ac:dyDescent="0.35">
      <c r="A32" s="98" t="str">
        <v>Agent du Playbook IA</v>
      </c>
      <c r="B32" s="98" t="str">
        <v>Assistant</v>
      </c>
      <c r="C32" s="98" t="str">
        <v>Guide conversationnel de l’Atlas qui révèle la couleur IA d’un lecteur, précise son niveau de maturité et transforme son intention en parcours personnalisé.</v>
      </c>
      <c r="D32" s="98" t="str">
        <v>Microsoft 365 Copilot / Copilot Studio</v>
      </c>
      <c r="E32" s="98" t="str">
        <v>Assistance</v>
      </c>
      <c r="F32" s="247" t="str">
        <v>À utiliser dès l’accueil du Playbook pour qualifier l’intention, la maturité et l’audience avant d’orienter vers les bonnes ressources.</v>
      </c>
      <c r="G32" s="247" t="str">
        <v>Limité / dépend de l’offre</v>
      </c>
      <c r="H32" s="247" t="str">
        <v>À tester</v>
      </c>
    </row>
    <row r="33" spans="1:5" ht="15" customHeight="1" x14ac:dyDescent="0.35">
      <c r="A33" s="32"/>
      <c r="B33" s="32"/>
      <c r="C33" s="32"/>
      <c r="D33" s="32"/>
      <c r="E33" s="32"/>
    </row>
    <row r="34" spans="1:5" ht="15" customHeight="1" x14ac:dyDescent="0.35">
      <c r="A34" s="32"/>
      <c r="B34" s="32"/>
      <c r="C34" s="32"/>
      <c r="D34" s="32"/>
      <c r="E34" s="32"/>
    </row>
    <row r="35" spans="1:5" ht="22" customHeight="1" x14ac:dyDescent="0.35"/>
    <row r="36" spans="1:5" ht="15" customHeight="1" x14ac:dyDescent="0.35"/>
    <row r="38" spans="1:5" ht="80" customHeight="1" x14ac:dyDescent="0.35"/>
    <row r="39" spans="1:5" ht="80" customHeight="1" x14ac:dyDescent="0.35"/>
    <row r="40" spans="1:5" ht="80" customHeight="1" x14ac:dyDescent="0.35"/>
    <row r="41" spans="1:5" ht="80" customHeight="1" x14ac:dyDescent="0.35"/>
    <row r="42" spans="1:5" ht="80" customHeight="1" x14ac:dyDescent="0.35"/>
    <row r="43" spans="1:5" ht="80" customHeight="1" x14ac:dyDescent="0.35"/>
    <row r="44" spans="1:5" ht="80" customHeight="1" x14ac:dyDescent="0.35"/>
    <row r="45" spans="1:5" ht="80" customHeight="1" x14ac:dyDescent="0.35"/>
    <row r="46" spans="1:5" ht="80" customHeight="1" x14ac:dyDescent="0.35"/>
    <row r="47" spans="1:5" ht="80" customHeight="1" x14ac:dyDescent="0.35"/>
    <row r="48" spans="1:5" ht="80" customHeight="1" x14ac:dyDescent="0.35"/>
    <row r="49" ht="80" customHeight="1" x14ac:dyDescent="0.35"/>
    <row r="50" ht="80" customHeight="1" x14ac:dyDescent="0.35"/>
    <row r="51" ht="80" customHeight="1" x14ac:dyDescent="0.35"/>
    <row r="52" ht="80" customHeight="1" x14ac:dyDescent="0.35"/>
    <row r="53" ht="80" customHeight="1" x14ac:dyDescent="0.35"/>
    <row r="54" ht="80" customHeight="1" x14ac:dyDescent="0.35"/>
    <row r="55" ht="80" customHeight="1" x14ac:dyDescent="0.35"/>
    <row r="56" ht="80" customHeight="1" x14ac:dyDescent="0.35"/>
    <row r="57" ht="80" customHeight="1" x14ac:dyDescent="0.35"/>
    <row r="58" ht="80" customHeight="1" x14ac:dyDescent="0.35"/>
    <row r="59" ht="80" customHeight="1" x14ac:dyDescent="0.35"/>
    <row r="60" ht="80" customHeight="1" x14ac:dyDescent="0.35"/>
    <row r="61" ht="80" customHeight="1" x14ac:dyDescent="0.35"/>
  </sheetData>
  <autoFilter ref="A7:E7" xr:uid="{74CD6B6A-9C88-437B-9105-B87C9D5C1BBC}"/>
  <mergeCells count="20">
    <mergeCell ref="J15:O18"/>
    <mergeCell ref="J9:L9"/>
    <mergeCell ref="J10:L12"/>
    <mergeCell ref="M9:O9"/>
    <mergeCell ref="M10:O12"/>
    <mergeCell ref="J14:O14"/>
    <mergeCell ref="J1:O1"/>
    <mergeCell ref="J2:O2"/>
    <mergeCell ref="J4:L4"/>
    <mergeCell ref="J5:L7"/>
    <mergeCell ref="M4:O4"/>
    <mergeCell ref="M5:O7"/>
    <mergeCell ref="A1:H1"/>
    <mergeCell ref="A2:H2"/>
    <mergeCell ref="A3:H3"/>
    <mergeCell ref="B4:H4"/>
    <mergeCell ref="B5:C5"/>
    <mergeCell ref="D5:E5"/>
    <mergeCell ref="F5:H5"/>
    <mergeCell ref="A6:H6"/>
  </mergeCells>
  <dataValidations count="2">
    <dataValidation type="list" allowBlank="1" showInputMessage="1" showErrorMessage="1" sqref="B5" xr:uid="{C6288089-B179-455A-9DE6-BB1286B1B2D6}">
      <formula1>Agents_Types</formula1>
    </dataValidation>
    <dataValidation type="list" allowBlank="1" showInputMessage="1" showErrorMessage="1" sqref="F5" xr:uid="{922B0A27-EED5-4CEA-9DFF-0EADF3EEF13B}">
      <formula1>Agents_Autonomie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EF49D-A432-4B07-A2EF-743F1979CAD8}">
  <sheetPr>
    <tabColor rgb="FF58FCEC"/>
  </sheetPr>
  <dimension ref="A1:D24"/>
  <sheetViews>
    <sheetView showGridLines="0" zoomScale="85" zoomScaleNormal="85" workbookViewId="0">
      <pane ySplit="7" topLeftCell="A8" activePane="bottomLeft" state="frozen"/>
      <selection activeCell="B1" sqref="B1"/>
      <selection pane="bottomLeft" activeCell="E5" sqref="E5"/>
    </sheetView>
  </sheetViews>
  <sheetFormatPr baseColWidth="10" defaultRowHeight="14.5" x14ac:dyDescent="0.35"/>
  <cols>
    <col min="1" max="1" width="16.08984375" bestFit="1" customWidth="1"/>
    <col min="2" max="2" width="28.1796875" customWidth="1"/>
    <col min="3" max="3" width="38.1796875" customWidth="1"/>
    <col min="4" max="4" width="75.54296875" customWidth="1"/>
  </cols>
  <sheetData>
    <row r="1" spans="1:4" ht="36" customHeight="1" thickBot="1" x14ac:dyDescent="0.4">
      <c r="A1" s="144" t="s">
        <v>671</v>
      </c>
      <c r="B1" s="144"/>
      <c r="C1" s="144"/>
      <c r="D1" s="144"/>
    </row>
    <row r="2" spans="1:4" ht="30" customHeight="1" thickTop="1" x14ac:dyDescent="0.35">
      <c r="A2" s="145" t="s">
        <v>672</v>
      </c>
      <c r="B2" s="145"/>
      <c r="C2" s="145"/>
      <c r="D2" s="145"/>
    </row>
    <row r="3" spans="1:4" ht="18" customHeight="1" x14ac:dyDescent="0.35">
      <c r="A3" s="149" t="s">
        <v>1982</v>
      </c>
      <c r="B3" s="149"/>
      <c r="C3" s="149"/>
      <c r="D3" s="149"/>
    </row>
    <row r="4" spans="1:4" ht="28" customHeight="1" x14ac:dyDescent="0.35">
      <c r="A4" s="39" t="s">
        <v>1056</v>
      </c>
      <c r="B4" s="146" t="s">
        <v>1202</v>
      </c>
      <c r="C4" s="150"/>
      <c r="D4" s="147"/>
    </row>
    <row r="5" spans="1:4" ht="32" customHeight="1" x14ac:dyDescent="0.35">
      <c r="A5" s="148" t="s">
        <v>673</v>
      </c>
      <c r="B5" s="148"/>
      <c r="C5" s="148"/>
      <c r="D5" s="148"/>
    </row>
    <row r="6" spans="1:4" x14ac:dyDescent="0.35">
      <c r="A6" s="32"/>
      <c r="B6" s="32"/>
      <c r="C6" s="32"/>
      <c r="D6" s="32"/>
    </row>
    <row r="7" spans="1:4" x14ac:dyDescent="0.35">
      <c r="A7" s="42" t="s">
        <v>674</v>
      </c>
      <c r="B7" s="41" t="s">
        <v>675</v>
      </c>
      <c r="C7" s="41" t="s">
        <v>676</v>
      </c>
      <c r="D7" s="43" t="s">
        <v>677</v>
      </c>
    </row>
    <row r="8" spans="1:4" ht="87" x14ac:dyDescent="0.35">
      <c r="A8" s="45" cm="1">
        <f t="array" ref="A8:D13">_xlfn.LET(_xlpm.q,LOWER(TRIM($B$4)),_xlpm.data,'Usages &amp; Solutions'!$A$6:$V$22,_xlpm.cats,'Usages &amp; Solutions'!$A$6:$A$22,_xlpm.intents,'Usages &amp; Solutions'!$B$6:$B$22,_xlpm.solutionText,'Usages &amp; Solutions'!$V$6:$V$22,_xlpm.words,_xlfn._xlws.FILTER(_xlfn.TEXTSPLIT(_xlpm.q," "),_xlfn.TEXTSPLIT(_xlpm.q," ")&lt;&gt;""),_xlpm.hay,_xlfn.BYROW(_xlpm.data,_xlfn.LAMBDA(_xlpm.r,LOWER(_xlfn.TEXTJOIN(" ",TRUE,_xlpm.r)))),_xlpm.scores,_xlfn.MAP(_xlpm.hay,_xlfn.LAMBDA(_xlpm.x,SUM(--ISNUMBER(SEARCH(_xlpm.words,_xlpm.x))))),_xlpm.result,_xlfn.HSTACK(_xlpm.scores,_xlpm.cats,_xlpm.intents,_xlpm.solutionText),IF(_xlpm.q="","Saisissez votre besoin ci-dessus",IF(SUM(--(_xlpm.scores&gt;0))=0,"Aucun résultat : essayez des mots plus simples ou un synonyme",_xlfn.SORTBY(_xlfn._xlws.FILTER(_xlpm.result,_xlpm.scores&gt;0),_xlfn._xlws.FILTER(_xlpm.scores,_xlpm.scores&gt;0),-1))))</f>
        <v>1</v>
      </c>
      <c r="B8" s="47" t="str">
        <v>🧭 Assistance au travail quotidien</v>
      </c>
      <c r="C8" s="36" t="str">
        <v>🎯 L’IA accompagne le travail quotidien : rédaction, recherche, documents, présentations, tableaux et données d’entreprise. Exemples de capacités spécifiques : Copilot Cowork chez Microsoft et ChatGPT Work chez OpenAI.</v>
      </c>
      <c r="D8" s="36" t="str">
        <v>🏷️ Microsoft 365 Copilot (Chat + Copilot Cowork) • 🏷️ Claude for Work • 🏷️ ChatGPT Work (inclus avec ChatGPT Business / Enterprise) • 🏷️ Gemini for Workspace • 🏷️ Einstein Copilot • 🏷️ Now Assist • 🏷️ Joule • 🏷️ Oracle AI Digital Assistant • 🏷️ Atlassian Rovo • 🏷️ Le Chat Enterprise • 🏷️ Coral Enterprise</v>
      </c>
    </row>
    <row r="9" spans="1:4" ht="290" x14ac:dyDescent="0.35">
      <c r="A9" s="45">
        <v>1</v>
      </c>
      <c r="B9" s="47" t="str">
        <v>🔎 REPÈRE TRANSVERSAL — éditeur / écosystème IA</v>
      </c>
      <c r="C9" s="36" t="str">
        <v>🎯 Je comprends le positionnement de l'entreprise et ses principales technologies IA</v>
      </c>
      <c r="D9" s="36" t="str">
        <v>🏷️ Écosystème cloud et productivité : Microsoft 365 Copilot, Copilot Studio, Microsoft Foundry / Azure AI • 🏷️ Entreprise de modèles axée sécurité : Claude, Claude API, Claude Code, MCP • 🏷️ OpenAI : GPT, ChatGPT Work, ChatGPT agent, Workspace agents, Codex, API / Responses API, Agents SDK et OpenAI Frontier • 🏷️ Google / DeepMind : Gemini, Vertex AI, Google AI Studio, IA dans Workspace • 🏷️ Moteur de réponses et recherche IA : Perplexity, Enterprise Pro, Sonar API • 🏷️ CRM et agents d'entreprise : Agentforce, Einstein, Data Cloud • 🏷️ Plateforme de workflows d'entreprise : Now Platform, Now Assist, AI Agent Studio • 🏷️ IA pour ERP et processus métier : SAP Business AI, Joule, SAP AI Core • 🏷️ Cloud, bases de données et applications métier : OCI Generative AI, Oracle Database AI, Digital Assistant • 🏷️ Collaboration et gestion du travail : Rovo, Atlassian Intelligence, Jira, Confluence • 🏷️ Cloud et IA générative : Amazon Bedrock, SageMaker, Amazon Q • 🏷️ IA d'entreprise hybride : watsonx.ai, watsonx.data, watsonx.governance, watsonx Orchestrate • 🏷️ Modèles ouverts et produits grand public : Llama, Meta AI, Llama Stack • 🏷️ Entreprise européenne de modèles : Mistral, Le Chat, La Plateforme • 🏷️ IA d'entreprise et RAG : Command, Embed, Rerank, North • 🏷️ Plateforme communautaire open source : Models, Datasets, Spaces, Inference • 🏷️ Automatisation open source : workflows, AI nodes, agents et déploiement self-hosted • 🏷️ Automatisation visuelle : Make AI Agents et modules IA • 🏷️ Automatisation no-code : Zapier AI, Agents, Chatbots et AI Actions</v>
      </c>
    </row>
    <row r="10" spans="1:4" ht="43.5" x14ac:dyDescent="0.35">
      <c r="A10" s="45">
        <v>1</v>
      </c>
      <c r="B10" s="47" t="str">
        <v>🧭 Agent Builder no-code</v>
      </c>
      <c r="C10" s="36" t="str">
        <v>🎯 Je crée des agents spécialisés pour mon équipe</v>
      </c>
      <c r="D10" s="36" t="str">
        <v>🏷️ Copilot Agent Builder • 🏷️ ❌ Pas d'équivalent direct • 🏷️ GPTs personnalisés / Workspace agents • 🏷️ Vertex AI Agent Builder • 🏷️ Agentforce • 🏷️ AI Agent Studio • 🏷️ Bedrock Agents • 🏷️ watsonx Assistant • 🏷️ Spaces • 🏷️ Zapier Chatbots</v>
      </c>
    </row>
    <row r="11" spans="1:4" ht="43.5" x14ac:dyDescent="0.35">
      <c r="A11" s="45">
        <v>1</v>
      </c>
      <c r="B11" s="47" t="str">
        <v>🧭 Gestion documentaire / GED</v>
      </c>
      <c r="C11" s="36" t="str">
        <v>🎯 Je stocke, partage et gère les documents de mon équipe</v>
      </c>
      <c r="D11" s="36" t="str">
        <v>🏷️ SharePoint • 🏷️ Google Drive • 🏷️ Salesforce Files • 🏷️ SAP Document Management • 🏷️ Oracle Content Management • 🏷️ Confluence • 🏷️ Amazon S3 • 🏷️ IBM FileNet • 🏷️ Hub</v>
      </c>
    </row>
    <row r="12" spans="1:4" ht="29" x14ac:dyDescent="0.35">
      <c r="A12" s="45">
        <v>1</v>
      </c>
      <c r="B12" s="47" t="str">
        <v>🧭 Collaboration / Communication</v>
      </c>
      <c r="C12" s="36" t="str">
        <v>🎯 Je communique et collabore avec mon équipe en temps réel</v>
      </c>
      <c r="D12" s="36" t="str">
        <v>🏷️ Teams • 🏷️ Google Chat / Meet • 🏷️ Slack (Salesforce) • 🏷️ SAP Jam • 🏷️ Confluence / Jira • 🏷️ Amazon Chime • 🏷️ WhatsApp AI</v>
      </c>
    </row>
    <row r="13" spans="1:4" ht="58" x14ac:dyDescent="0.35">
      <c r="A13" s="45">
        <v>1</v>
      </c>
      <c r="B13" s="47" t="str">
        <v>🧭 Sécurité / Gouvernance IA</v>
      </c>
      <c r="C13" s="36" t="str">
        <v>🎯 Je sécurise et gouverne l'usage de l'IA dans mon organisation</v>
      </c>
      <c r="D13" s="36" t="str">
        <v>🏷️ Microsoft Purview / Entra • 🏷️ Claude Admin Console • 🏷️ Contrôles admin ChatGPT / OpenAI Frontier • 🏷️ Vertex AI Governance • 🏷️ Salesforce Shield + Einstein Trust • 🏷️ SAP AI Core Governance • 🏷️ Atlassian Guard • 🏷️ Amazon Bedrock Guardrails • 🏷️ watsonx.governance • 🏷️ Llama Guard</v>
      </c>
    </row>
    <row r="14" spans="1:4" x14ac:dyDescent="0.35">
      <c r="A14" s="45"/>
      <c r="B14" s="47"/>
      <c r="C14" s="36"/>
      <c r="D14" s="36"/>
    </row>
    <row r="15" spans="1:4" x14ac:dyDescent="0.35">
      <c r="A15" s="46"/>
      <c r="B15" s="48"/>
      <c r="C15" s="44"/>
      <c r="D15" s="44"/>
    </row>
    <row r="16" spans="1:4" x14ac:dyDescent="0.35">
      <c r="A16" s="46"/>
      <c r="B16" s="48"/>
      <c r="C16" s="44"/>
      <c r="D16" s="44"/>
    </row>
    <row r="17" spans="1:4" x14ac:dyDescent="0.35">
      <c r="A17" s="46"/>
      <c r="B17" s="48"/>
      <c r="C17" s="44"/>
      <c r="D17" s="44"/>
    </row>
    <row r="18" spans="1:4" x14ac:dyDescent="0.35">
      <c r="A18" s="46"/>
      <c r="B18" s="48"/>
      <c r="C18" s="44"/>
      <c r="D18" s="44"/>
    </row>
    <row r="19" spans="1:4" x14ac:dyDescent="0.35">
      <c r="A19" s="46"/>
      <c r="B19" s="48"/>
      <c r="C19" s="44"/>
      <c r="D19" s="44"/>
    </row>
    <row r="20" spans="1:4" x14ac:dyDescent="0.35">
      <c r="A20" s="46"/>
      <c r="B20" s="48"/>
      <c r="C20" s="44"/>
      <c r="D20" s="44"/>
    </row>
    <row r="21" spans="1:4" x14ac:dyDescent="0.35">
      <c r="A21" s="46"/>
      <c r="B21" s="48"/>
      <c r="C21" s="44"/>
      <c r="D21" s="44"/>
    </row>
    <row r="22" spans="1:4" x14ac:dyDescent="0.35">
      <c r="A22" s="46"/>
      <c r="B22" s="48"/>
      <c r="C22" s="44"/>
      <c r="D22" s="44"/>
    </row>
    <row r="23" spans="1:4" x14ac:dyDescent="0.35">
      <c r="A23" s="46"/>
      <c r="B23" s="48"/>
      <c r="C23" s="44"/>
      <c r="D23" s="44"/>
    </row>
    <row r="24" spans="1:4" x14ac:dyDescent="0.35">
      <c r="A24" s="46"/>
      <c r="B24" s="48"/>
      <c r="C24" s="44"/>
      <c r="D24" s="44"/>
    </row>
  </sheetData>
  <mergeCells count="5">
    <mergeCell ref="A1:D1"/>
    <mergeCell ref="A2:D2"/>
    <mergeCell ref="B4:D4"/>
    <mergeCell ref="A5:D5"/>
    <mergeCell ref="A3:D3"/>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D6B56-9592-46CB-BA0C-C609845A1E7C}">
  <sheetPr>
    <tabColor rgb="FF58FCEC"/>
  </sheetPr>
  <dimension ref="A1:V22"/>
  <sheetViews>
    <sheetView showGridLines="0" workbookViewId="0">
      <pane ySplit="5" topLeftCell="A6" activePane="bottomLeft" state="frozen"/>
      <selection pane="bottomLeft" activeCell="A3" sqref="A3:U3"/>
    </sheetView>
  </sheetViews>
  <sheetFormatPr baseColWidth="10" defaultRowHeight="14.5" x14ac:dyDescent="0.35"/>
  <cols>
    <col min="1" max="1" width="28.1796875" customWidth="1"/>
    <col min="2" max="2" width="38.1796875" style="1" customWidth="1"/>
    <col min="3" max="14" width="25.453125" style="1" customWidth="1"/>
    <col min="15" max="21" width="25.453125" customWidth="1"/>
    <col min="22" max="22" width="21.7265625" customWidth="1"/>
  </cols>
  <sheetData>
    <row r="1" spans="1:22" ht="36" customHeight="1" thickBot="1" x14ac:dyDescent="0.4">
      <c r="A1" s="144" t="s">
        <v>2115</v>
      </c>
      <c r="B1" s="144"/>
      <c r="C1" s="144"/>
      <c r="D1" s="144"/>
      <c r="E1" s="144"/>
      <c r="F1" s="144"/>
      <c r="G1" s="144"/>
      <c r="H1" s="144"/>
      <c r="I1" s="144"/>
      <c r="J1" s="144"/>
      <c r="K1" s="144"/>
      <c r="L1" s="144"/>
      <c r="M1" s="144"/>
      <c r="N1" s="144"/>
      <c r="O1" s="144"/>
      <c r="P1" s="144"/>
      <c r="Q1" s="144"/>
      <c r="R1" s="144"/>
      <c r="S1" s="144"/>
      <c r="T1" s="144"/>
      <c r="U1" s="144"/>
      <c r="V1" s="34"/>
    </row>
    <row r="2" spans="1:22" ht="30" customHeight="1" thickTop="1" x14ac:dyDescent="0.35">
      <c r="A2" s="145" t="s">
        <v>2116</v>
      </c>
      <c r="B2" s="145"/>
      <c r="C2" s="145"/>
      <c r="D2" s="145"/>
      <c r="E2" s="145"/>
      <c r="F2" s="145"/>
      <c r="G2" s="145"/>
      <c r="H2" s="145"/>
      <c r="I2" s="145"/>
      <c r="J2" s="145"/>
      <c r="K2" s="145"/>
      <c r="L2" s="145"/>
      <c r="M2" s="145"/>
      <c r="N2" s="145"/>
      <c r="O2" s="145"/>
      <c r="P2" s="145"/>
      <c r="Q2" s="145"/>
      <c r="R2" s="145"/>
      <c r="S2" s="145"/>
      <c r="T2" s="145"/>
      <c r="U2" s="145"/>
      <c r="V2" s="35"/>
    </row>
    <row r="3" spans="1:22" x14ac:dyDescent="0.35">
      <c r="A3" s="151" t="s">
        <v>2117</v>
      </c>
      <c r="B3" s="151"/>
      <c r="C3" s="151"/>
      <c r="D3" s="151"/>
      <c r="E3" s="151"/>
      <c r="F3" s="151"/>
      <c r="G3" s="151"/>
      <c r="H3" s="151"/>
      <c r="I3" s="151"/>
      <c r="J3" s="151"/>
      <c r="K3" s="151"/>
      <c r="L3" s="151"/>
      <c r="M3" s="151"/>
      <c r="N3" s="151"/>
      <c r="O3" s="151"/>
      <c r="P3" s="151"/>
      <c r="Q3" s="151"/>
      <c r="R3" s="151"/>
      <c r="S3" s="151"/>
      <c r="T3" s="151"/>
      <c r="U3" s="151"/>
      <c r="V3" s="37"/>
    </row>
    <row r="4" spans="1:22" x14ac:dyDescent="0.35">
      <c r="A4" s="32"/>
      <c r="B4" s="33"/>
      <c r="C4" s="33"/>
      <c r="D4" s="33"/>
      <c r="E4" s="33"/>
      <c r="F4" s="33"/>
      <c r="G4" s="33"/>
      <c r="H4" s="33"/>
      <c r="I4" s="33"/>
      <c r="J4" s="33"/>
      <c r="K4" s="33"/>
      <c r="L4" s="33"/>
      <c r="M4" s="33"/>
      <c r="N4" s="33"/>
      <c r="O4" s="32"/>
      <c r="P4" s="32"/>
      <c r="Q4" s="32"/>
      <c r="R4" s="32"/>
      <c r="S4" s="32"/>
      <c r="T4" s="32"/>
      <c r="U4" s="32"/>
      <c r="V4" s="32"/>
    </row>
    <row r="5" spans="1:22" ht="32" customHeight="1" x14ac:dyDescent="0.35">
      <c r="A5" s="40" t="s">
        <v>456</v>
      </c>
      <c r="B5" s="40" t="s">
        <v>457</v>
      </c>
      <c r="C5" s="40" t="s">
        <v>458</v>
      </c>
      <c r="D5" s="40" t="s">
        <v>459</v>
      </c>
      <c r="E5" s="40" t="s">
        <v>460</v>
      </c>
      <c r="F5" s="40" t="s">
        <v>461</v>
      </c>
      <c r="G5" s="40" t="s">
        <v>462</v>
      </c>
      <c r="H5" s="40" t="s">
        <v>463</v>
      </c>
      <c r="I5" s="40" t="s">
        <v>464</v>
      </c>
      <c r="J5" s="40" t="s">
        <v>465</v>
      </c>
      <c r="K5" s="40" t="s">
        <v>466</v>
      </c>
      <c r="L5" s="40" t="s">
        <v>467</v>
      </c>
      <c r="M5" s="40" t="s">
        <v>468</v>
      </c>
      <c r="N5" s="40" t="s">
        <v>469</v>
      </c>
      <c r="O5" s="40" t="s">
        <v>470</v>
      </c>
      <c r="P5" s="40" t="s">
        <v>471</v>
      </c>
      <c r="Q5" s="40" t="s">
        <v>472</v>
      </c>
      <c r="R5" s="40" t="s">
        <v>473</v>
      </c>
      <c r="S5" s="40" t="s">
        <v>474</v>
      </c>
      <c r="T5" s="40" t="s">
        <v>475</v>
      </c>
      <c r="U5" s="40" t="s">
        <v>476</v>
      </c>
      <c r="V5" s="40" t="s">
        <v>678</v>
      </c>
    </row>
    <row r="6" spans="1:22" ht="116" x14ac:dyDescent="0.35">
      <c r="A6" s="60" t="s">
        <v>477</v>
      </c>
      <c r="B6" s="62" t="s">
        <v>478</v>
      </c>
      <c r="C6" s="33" t="s">
        <v>479</v>
      </c>
      <c r="D6" s="33" t="s">
        <v>480</v>
      </c>
      <c r="E6" s="33" t="s">
        <v>481</v>
      </c>
      <c r="F6" s="33" t="s">
        <v>482</v>
      </c>
      <c r="G6" s="33" t="s">
        <v>483</v>
      </c>
      <c r="H6" s="33" t="s">
        <v>93</v>
      </c>
      <c r="I6" s="33" t="s">
        <v>93</v>
      </c>
      <c r="J6" s="33" t="s">
        <v>93</v>
      </c>
      <c r="K6" s="33" t="s">
        <v>93</v>
      </c>
      <c r="L6" s="33" t="s">
        <v>93</v>
      </c>
      <c r="M6" s="33" t="s">
        <v>484</v>
      </c>
      <c r="N6" s="33" t="s">
        <v>93</v>
      </c>
      <c r="O6" s="33" t="s">
        <v>485</v>
      </c>
      <c r="P6" s="33" t="s">
        <v>486</v>
      </c>
      <c r="Q6" s="33" t="s">
        <v>487</v>
      </c>
      <c r="R6" s="33" t="s">
        <v>488</v>
      </c>
      <c r="S6" s="33" t="s">
        <v>93</v>
      </c>
      <c r="T6" s="33" t="s">
        <v>93</v>
      </c>
      <c r="U6" s="33" t="s">
        <v>93</v>
      </c>
      <c r="V6" s="33" t="str" cm="1">
        <f t="array" ref="V6">_xlfn.TEXTJOIN(" • ",TRUE,IF((C6:U6&lt;&gt;"—")*(C6:U6&lt;&gt;""),C6:U6,""))</f>
        <v>🏷️ Copilot Chat • 🏷️ Claude • 🏷️ ChatGPT • 🏷️ Gemini • 🏷️ Perplexity Assistant • 🏷️ Amazon Q • 🏷️ Meta AI / Llama • 🏷️ Le Chat • 🏷️ Coral • 🏷️ HuggingChat</v>
      </c>
    </row>
    <row r="7" spans="1:22" ht="217.5" x14ac:dyDescent="0.35">
      <c r="A7" s="60" t="s">
        <v>489</v>
      </c>
      <c r="B7" s="62" t="s">
        <v>658</v>
      </c>
      <c r="C7" s="33" t="s">
        <v>490</v>
      </c>
      <c r="D7" s="33" t="s">
        <v>491</v>
      </c>
      <c r="E7" s="33" t="s">
        <v>659</v>
      </c>
      <c r="F7" s="33" t="s">
        <v>492</v>
      </c>
      <c r="G7" s="33" t="s">
        <v>93</v>
      </c>
      <c r="H7" s="33" t="s">
        <v>493</v>
      </c>
      <c r="I7" s="33" t="s">
        <v>494</v>
      </c>
      <c r="J7" s="33" t="s">
        <v>495</v>
      </c>
      <c r="K7" s="33" t="s">
        <v>496</v>
      </c>
      <c r="L7" s="33" t="s">
        <v>497</v>
      </c>
      <c r="M7" s="33" t="s">
        <v>93</v>
      </c>
      <c r="N7" s="33" t="s">
        <v>93</v>
      </c>
      <c r="O7" s="33" t="s">
        <v>93</v>
      </c>
      <c r="P7" s="33" t="s">
        <v>498</v>
      </c>
      <c r="Q7" s="33" t="s">
        <v>499</v>
      </c>
      <c r="R7" s="33" t="s">
        <v>93</v>
      </c>
      <c r="S7" s="33" t="s">
        <v>93</v>
      </c>
      <c r="T7" s="33" t="s">
        <v>93</v>
      </c>
      <c r="U7" s="33" t="s">
        <v>93</v>
      </c>
      <c r="V7" s="33" t="str" cm="1">
        <f t="array" ref="V7">_xlfn.TEXTJOIN(" • ",TRUE,IF((C7:U7&lt;&gt;"—")*(C7:U7&lt;&gt;""),C7:U7,""))</f>
        <v>🏷️ Microsoft 365 Copilot (Chat + Copilot Cowork) • 🏷️ Claude for Work • 🏷️ ChatGPT Work (inclus avec ChatGPT Business / Enterprise) • 🏷️ Gemini for Workspace • 🏷️ Einstein Copilot • 🏷️ Now Assist • 🏷️ Joule • 🏷️ Oracle AI Digital Assistant • 🏷️ Atlassian Rovo • 🏷️ Le Chat Enterprise • 🏷️ Coral Enterprise</v>
      </c>
    </row>
    <row r="8" spans="1:22" ht="203" x14ac:dyDescent="0.35">
      <c r="A8" s="60" t="s">
        <v>647</v>
      </c>
      <c r="B8" s="62" t="s">
        <v>648</v>
      </c>
      <c r="C8" s="33" t="s">
        <v>649</v>
      </c>
      <c r="D8" s="33" t="s">
        <v>650</v>
      </c>
      <c r="E8" s="33" t="s">
        <v>651</v>
      </c>
      <c r="F8" s="33" t="s">
        <v>93</v>
      </c>
      <c r="G8" s="33" t="s">
        <v>93</v>
      </c>
      <c r="H8" s="33" t="s">
        <v>525</v>
      </c>
      <c r="I8" s="33" t="s">
        <v>652</v>
      </c>
      <c r="J8" s="33" t="s">
        <v>653</v>
      </c>
      <c r="K8" s="33" t="s">
        <v>654</v>
      </c>
      <c r="L8" s="33" t="s">
        <v>655</v>
      </c>
      <c r="M8" s="33" t="s">
        <v>656</v>
      </c>
      <c r="N8" s="33" t="s">
        <v>551</v>
      </c>
      <c r="O8" s="33" t="s">
        <v>93</v>
      </c>
      <c r="P8" s="33" t="s">
        <v>93</v>
      </c>
      <c r="Q8" s="33" t="s">
        <v>93</v>
      </c>
      <c r="R8" s="33" t="s">
        <v>93</v>
      </c>
      <c r="S8" s="33" t="s">
        <v>93</v>
      </c>
      <c r="T8" s="33" t="s">
        <v>93</v>
      </c>
      <c r="U8" s="33" t="s">
        <v>657</v>
      </c>
      <c r="V8" s="33" t="str" cm="1">
        <f t="array" ref="V8">_xlfn.TEXTJOIN(" • ",TRUE,IF((C8:U8&lt;&gt;"—")*(C8:U8&lt;&gt;""),C8:U8,""))</f>
        <v>🏷️ Copilot Cowork • 🏷️ Claude Cowork • 🏷️ ChatGPT agent / Workspace agents (dans ChatGPT Work) • 🏷️ Agentforce • 🏷️ Now Assist AI Agents • 🏷️ Joule Agents • 🏷️ Oracle AI Agents • 🏷️ Rovo Agents • 🏷️ Amazon Q / Bedrock Agents • 🏷️ watsonx Orchestrate • 🏷️ Zapier Agents</v>
      </c>
    </row>
    <row r="9" spans="1:22" ht="409.5" x14ac:dyDescent="0.35">
      <c r="A9" s="61" t="s">
        <v>500</v>
      </c>
      <c r="B9" s="63" t="s">
        <v>501</v>
      </c>
      <c r="C9" s="38" t="s">
        <v>502</v>
      </c>
      <c r="D9" s="38" t="s">
        <v>503</v>
      </c>
      <c r="E9" s="38" t="s">
        <v>660</v>
      </c>
      <c r="F9" s="38" t="s">
        <v>504</v>
      </c>
      <c r="G9" s="38" t="s">
        <v>505</v>
      </c>
      <c r="H9" s="38" t="s">
        <v>506</v>
      </c>
      <c r="I9" s="38" t="s">
        <v>507</v>
      </c>
      <c r="J9" s="38" t="s">
        <v>508</v>
      </c>
      <c r="K9" s="38" t="s">
        <v>509</v>
      </c>
      <c r="L9" s="38" t="s">
        <v>510</v>
      </c>
      <c r="M9" s="38" t="s">
        <v>511</v>
      </c>
      <c r="N9" s="38" t="s">
        <v>512</v>
      </c>
      <c r="O9" s="38" t="s">
        <v>513</v>
      </c>
      <c r="P9" s="38" t="s">
        <v>514</v>
      </c>
      <c r="Q9" s="38" t="s">
        <v>515</v>
      </c>
      <c r="R9" s="38" t="s">
        <v>516</v>
      </c>
      <c r="S9" s="38" t="s">
        <v>517</v>
      </c>
      <c r="T9" s="38" t="s">
        <v>518</v>
      </c>
      <c r="U9" s="38" t="s">
        <v>519</v>
      </c>
      <c r="V9" s="33" t="str" cm="1">
        <f t="array" ref="V9">_xlfn.TEXTJOIN(" • ",TRUE,IF((C9:U9&lt;&gt;"—")*(C9:U9&lt;&gt;""),C9:U9,""))</f>
        <v>🏷️ Écosystème cloud et productivité : Microsoft 365 Copilot, Copilot Studio, Microsoft Foundry / Azure AI • 🏷️ Entreprise de modèles axée sécurité : Claude, Claude API, Claude Code, MCP • 🏷️ OpenAI : GPT, ChatGPT Work, ChatGPT agent, Workspace agents, Codex, API / Responses API, Agents SDK et OpenAI Frontier • 🏷️ Google / DeepMind : Gemini, Vertex AI, Google AI Studio, IA dans Workspace • 🏷️ Moteur de réponses et recherche IA : Perplexity, Enterprise Pro, Sonar API • 🏷️ CRM et agents d'entreprise : Agentforce, Einstein, Data Cloud • 🏷️ Plateforme de workflows d'entreprise : Now Platform, Now Assist, AI Agent Studio • 🏷️ IA pour ERP et processus métier : SAP Business AI, Joule, SAP AI Core • 🏷️ Cloud, bases de données et applications métier : OCI Generative AI, Oracle Database AI, Digital Assistant • 🏷️ Collaboration et gestion du travail : Rovo, Atlassian Intelligence, Jira, Confluence • 🏷️ Cloud et IA générative : Amazon Bedrock, SageMaker, Amazon Q • 🏷️ IA d'entreprise hybride : watsonx.ai, watsonx.data, watsonx.governance, watsonx Orchestrate • 🏷️ Modèles ouverts et produits grand public : Llama, Meta AI, Llama Stack • 🏷️ Entreprise européenne de modèles : Mistral, Le Chat, La Plateforme • 🏷️ IA d'entreprise et RAG : Command, Embed, Rerank, North • 🏷️ Plateforme communautaire open source : Models, Datasets, Spaces, Inference • 🏷️ Automatisation open source : workflows, AI nodes, agents et déploiement self-hosted • 🏷️ Automatisation visuelle : Make AI Agents et modules IA • 🏷️ Automatisation no-code : Zapier AI, Agents, Chatbots et AI Actions</v>
      </c>
    </row>
    <row r="10" spans="1:22" ht="174" x14ac:dyDescent="0.35">
      <c r="A10" s="60" t="s">
        <v>520</v>
      </c>
      <c r="B10" s="62" t="s">
        <v>521</v>
      </c>
      <c r="C10" s="33" t="s">
        <v>522</v>
      </c>
      <c r="D10" s="33" t="s">
        <v>523</v>
      </c>
      <c r="E10" s="33" t="s">
        <v>661</v>
      </c>
      <c r="F10" s="33" t="s">
        <v>524</v>
      </c>
      <c r="G10" s="33" t="s">
        <v>93</v>
      </c>
      <c r="H10" s="33" t="s">
        <v>525</v>
      </c>
      <c r="I10" s="33" t="s">
        <v>526</v>
      </c>
      <c r="J10" s="33" t="s">
        <v>93</v>
      </c>
      <c r="K10" s="33" t="s">
        <v>93</v>
      </c>
      <c r="L10" s="33" t="s">
        <v>93</v>
      </c>
      <c r="M10" s="33" t="s">
        <v>527</v>
      </c>
      <c r="N10" s="33" t="s">
        <v>528</v>
      </c>
      <c r="O10" s="33" t="s">
        <v>93</v>
      </c>
      <c r="P10" s="33" t="s">
        <v>93</v>
      </c>
      <c r="Q10" s="33" t="s">
        <v>93</v>
      </c>
      <c r="R10" s="33" t="s">
        <v>529</v>
      </c>
      <c r="S10" s="33" t="s">
        <v>93</v>
      </c>
      <c r="T10" s="33" t="s">
        <v>93</v>
      </c>
      <c r="U10" s="33" t="s">
        <v>530</v>
      </c>
      <c r="V10" s="33" t="str" cm="1">
        <f t="array" ref="V10">_xlfn.TEXTJOIN(" • ",TRUE,IF((C10:U10&lt;&gt;"—")*(C10:U10&lt;&gt;""),C10:U10,""))</f>
        <v>🏷️ Copilot Agent Builder • 🏷️ ❌ Pas d'équivalent direct • 🏷️ GPTs personnalisés / Workspace agents • 🏷️ Vertex AI Agent Builder • 🏷️ Agentforce • 🏷️ AI Agent Studio • 🏷️ Bedrock Agents • 🏷️ watsonx Assistant • 🏷️ Spaces • 🏷️ Zapier Chatbots</v>
      </c>
    </row>
    <row r="11" spans="1:22" ht="130.5" x14ac:dyDescent="0.35">
      <c r="A11" s="60" t="s">
        <v>531</v>
      </c>
      <c r="B11" s="62" t="s">
        <v>532</v>
      </c>
      <c r="C11" s="33" t="s">
        <v>533</v>
      </c>
      <c r="D11" s="33" t="s">
        <v>523</v>
      </c>
      <c r="E11" s="33" t="s">
        <v>662</v>
      </c>
      <c r="F11" s="33" t="s">
        <v>524</v>
      </c>
      <c r="G11" s="33" t="s">
        <v>93</v>
      </c>
      <c r="H11" s="33" t="s">
        <v>525</v>
      </c>
      <c r="I11" s="33" t="s">
        <v>526</v>
      </c>
      <c r="J11" s="33" t="s">
        <v>93</v>
      </c>
      <c r="K11" s="33" t="s">
        <v>93</v>
      </c>
      <c r="L11" s="33" t="s">
        <v>93</v>
      </c>
      <c r="M11" s="33" t="s">
        <v>527</v>
      </c>
      <c r="N11" s="33" t="s">
        <v>528</v>
      </c>
      <c r="O11" s="33" t="s">
        <v>93</v>
      </c>
      <c r="P11" s="33" t="s">
        <v>93</v>
      </c>
      <c r="Q11" s="33" t="s">
        <v>93</v>
      </c>
      <c r="R11" s="33" t="s">
        <v>93</v>
      </c>
      <c r="S11" s="33" t="s">
        <v>93</v>
      </c>
      <c r="T11" s="33" t="s">
        <v>93</v>
      </c>
      <c r="U11" s="33" t="s">
        <v>93</v>
      </c>
      <c r="V11" s="33" t="str" cm="1">
        <f t="array" ref="V11">_xlfn.TEXTJOIN(" • ",TRUE,IF((C11:U11&lt;&gt;"—")*(C11:U11&lt;&gt;""),C11:U11,""))</f>
        <v>🏷️ Copilot Studio • 🏷️ ❌ Pas d'équivalent direct • 🏷️ Agent Builder / Responses API • 🏷️ Vertex AI Agent Builder • 🏷️ Agentforce • 🏷️ AI Agent Studio • 🏷️ Bedrock Agents • 🏷️ watsonx Assistant</v>
      </c>
    </row>
    <row r="12" spans="1:22" ht="217.5" x14ac:dyDescent="0.35">
      <c r="A12" s="60" t="s">
        <v>534</v>
      </c>
      <c r="B12" s="62" t="s">
        <v>535</v>
      </c>
      <c r="C12" s="33" t="s">
        <v>536</v>
      </c>
      <c r="D12" s="33" t="s">
        <v>537</v>
      </c>
      <c r="E12" s="33" t="s">
        <v>663</v>
      </c>
      <c r="F12" s="33" t="s">
        <v>524</v>
      </c>
      <c r="G12" s="33" t="s">
        <v>93</v>
      </c>
      <c r="H12" s="33" t="s">
        <v>525</v>
      </c>
      <c r="I12" s="33" t="s">
        <v>526</v>
      </c>
      <c r="J12" s="33" t="s">
        <v>93</v>
      </c>
      <c r="K12" s="33" t="s">
        <v>93</v>
      </c>
      <c r="L12" s="33" t="s">
        <v>93</v>
      </c>
      <c r="M12" s="33" t="s">
        <v>527</v>
      </c>
      <c r="N12" s="33" t="s">
        <v>528</v>
      </c>
      <c r="O12" s="33" t="s">
        <v>538</v>
      </c>
      <c r="P12" s="33" t="s">
        <v>539</v>
      </c>
      <c r="Q12" s="33" t="s">
        <v>540</v>
      </c>
      <c r="R12" s="33" t="s">
        <v>541</v>
      </c>
      <c r="S12" s="33" t="s">
        <v>93</v>
      </c>
      <c r="T12" s="33" t="s">
        <v>93</v>
      </c>
      <c r="U12" s="33" t="s">
        <v>93</v>
      </c>
      <c r="V12" s="33" t="str" cm="1">
        <f t="array" ref="V12">_xlfn.TEXTJOIN(" • ",TRUE,IF((C12:U12&lt;&gt;"—")*(C12:U12&lt;&gt;""),C12:U12,""))</f>
        <v>🏷️ Semantic Kernel / Copilot SDK • 🏷️ SDK Claude + MCP • 🏷️ Responses API / Agents SDK • 🏷️ Vertex AI Agent Builder • 🏷️ Agentforce • 🏷️ AI Agent Studio • 🏷️ Bedrock Agents • 🏷️ watsonx Assistant • 🏷️ Llama Stack • 🏷️ La Plateforme / API • 🏷️ Command API • 🏷️ Transformers / Inference API</v>
      </c>
    </row>
    <row r="13" spans="1:22" ht="232" x14ac:dyDescent="0.35">
      <c r="A13" s="60" t="s">
        <v>542</v>
      </c>
      <c r="B13" s="62" t="s">
        <v>543</v>
      </c>
      <c r="C13" s="33" t="s">
        <v>544</v>
      </c>
      <c r="D13" s="33" t="s">
        <v>93</v>
      </c>
      <c r="E13" s="33" t="s">
        <v>664</v>
      </c>
      <c r="F13" s="33" t="s">
        <v>93</v>
      </c>
      <c r="G13" s="33" t="s">
        <v>93</v>
      </c>
      <c r="H13" s="33" t="s">
        <v>545</v>
      </c>
      <c r="I13" s="33" t="s">
        <v>546</v>
      </c>
      <c r="J13" s="33" t="s">
        <v>547</v>
      </c>
      <c r="K13" s="33" t="s">
        <v>548</v>
      </c>
      <c r="L13" s="33" t="s">
        <v>549</v>
      </c>
      <c r="M13" s="33" t="s">
        <v>550</v>
      </c>
      <c r="N13" s="33" t="s">
        <v>551</v>
      </c>
      <c r="O13" s="33" t="s">
        <v>93</v>
      </c>
      <c r="P13" s="33" t="s">
        <v>93</v>
      </c>
      <c r="Q13" s="33" t="s">
        <v>93</v>
      </c>
      <c r="R13" s="33" t="s">
        <v>93</v>
      </c>
      <c r="S13" s="33" t="s">
        <v>552</v>
      </c>
      <c r="T13" s="33" t="s">
        <v>553</v>
      </c>
      <c r="U13" s="33" t="s">
        <v>554</v>
      </c>
      <c r="V13" s="33" t="str" cm="1">
        <f t="array" ref="V13">_xlfn.TEXTJOIN(" • ",TRUE,IF((C13:U13&lt;&gt;"—")*(C13:U13&lt;&gt;""),C13:U13,""))</f>
        <v>🏷️ Power Automate • 🏷️ ChatGPT Work / Workspace agents (tâches planifiées) • 🏷️ Flow Builder • 🏷️ Flow Designer • 🏷️ SAP Build Process Automation • 🏷️ Oracle Integration Cloud • 🏷️ Automation for Jira • 🏷️ AWS Step Functions • 🏷️ watsonx Orchestrate • 🏷️ N8N + AI nodes • 🏷️ Make + AI modules • 🏷️ Zapier + AI Actions</v>
      </c>
    </row>
    <row r="14" spans="1:22" ht="130.5" x14ac:dyDescent="0.35">
      <c r="A14" s="60" t="s">
        <v>555</v>
      </c>
      <c r="B14" s="62" t="s">
        <v>556</v>
      </c>
      <c r="C14" s="33" t="s">
        <v>557</v>
      </c>
      <c r="D14" s="33" t="s">
        <v>93</v>
      </c>
      <c r="E14" s="33" t="s">
        <v>93</v>
      </c>
      <c r="F14" s="33" t="s">
        <v>558</v>
      </c>
      <c r="G14" s="33" t="s">
        <v>93</v>
      </c>
      <c r="H14" s="33" t="s">
        <v>559</v>
      </c>
      <c r="I14" s="33" t="s">
        <v>560</v>
      </c>
      <c r="J14" s="33" t="s">
        <v>561</v>
      </c>
      <c r="K14" s="33" t="s">
        <v>562</v>
      </c>
      <c r="L14" s="33" t="s">
        <v>93</v>
      </c>
      <c r="M14" s="33" t="s">
        <v>563</v>
      </c>
      <c r="N14" s="33" t="s">
        <v>564</v>
      </c>
      <c r="O14" s="33" t="s">
        <v>93</v>
      </c>
      <c r="P14" s="33" t="s">
        <v>93</v>
      </c>
      <c r="Q14" s="33" t="s">
        <v>93</v>
      </c>
      <c r="R14" s="33" t="s">
        <v>93</v>
      </c>
      <c r="S14" s="33" t="s">
        <v>93</v>
      </c>
      <c r="T14" s="33" t="s">
        <v>93</v>
      </c>
      <c r="U14" s="33" t="s">
        <v>565</v>
      </c>
      <c r="V14" s="33" t="str" cm="1">
        <f t="array" ref="V14">_xlfn.TEXTJOIN(" • ",TRUE,IF((C14:U14&lt;&gt;"—")*(C14:U14&lt;&gt;""),C14:U14,""))</f>
        <v>🏷️ Dataverse • 🏷️ BigQuery • 🏷️ Salesforce Data Cloud • 🏷️ Now Platform Tables • 🏷️ SAP HANA • 🏷️ Oracle Database • 🏷️ Amazon DynamoDB • 🏷️ Db2 • 🏷️ Zapier Tables</v>
      </c>
    </row>
    <row r="15" spans="1:22" ht="145" x14ac:dyDescent="0.35">
      <c r="A15" s="60" t="s">
        <v>566</v>
      </c>
      <c r="B15" s="62" t="s">
        <v>567</v>
      </c>
      <c r="C15" s="33" t="s">
        <v>568</v>
      </c>
      <c r="D15" s="33" t="s">
        <v>93</v>
      </c>
      <c r="E15" s="33" t="s">
        <v>93</v>
      </c>
      <c r="F15" s="33" t="s">
        <v>569</v>
      </c>
      <c r="G15" s="33" t="s">
        <v>93</v>
      </c>
      <c r="H15" s="33" t="s">
        <v>570</v>
      </c>
      <c r="I15" s="33" t="s">
        <v>93</v>
      </c>
      <c r="J15" s="33" t="s">
        <v>571</v>
      </c>
      <c r="K15" s="33" t="s">
        <v>572</v>
      </c>
      <c r="L15" s="33" t="s">
        <v>573</v>
      </c>
      <c r="M15" s="33" t="s">
        <v>574</v>
      </c>
      <c r="N15" s="33" t="s">
        <v>575</v>
      </c>
      <c r="O15" s="33" t="s">
        <v>93</v>
      </c>
      <c r="P15" s="33" t="s">
        <v>93</v>
      </c>
      <c r="Q15" s="33" t="s">
        <v>93</v>
      </c>
      <c r="R15" s="33" t="s">
        <v>576</v>
      </c>
      <c r="S15" s="33" t="s">
        <v>93</v>
      </c>
      <c r="T15" s="33" t="s">
        <v>93</v>
      </c>
      <c r="U15" s="33" t="s">
        <v>93</v>
      </c>
      <c r="V15" s="33" t="str" cm="1">
        <f t="array" ref="V15">_xlfn.TEXTJOIN(" • ",TRUE,IF((C15:U15&lt;&gt;"—")*(C15:U15&lt;&gt;""),C15:U15,""))</f>
        <v>🏷️ SharePoint • 🏷️ Google Drive • 🏷️ Salesforce Files • 🏷️ SAP Document Management • 🏷️ Oracle Content Management • 🏷️ Confluence • 🏷️ Amazon S3 • 🏷️ IBM FileNet • 🏷️ Hub</v>
      </c>
    </row>
    <row r="16" spans="1:22" ht="101.5" x14ac:dyDescent="0.35">
      <c r="A16" s="60" t="s">
        <v>577</v>
      </c>
      <c r="B16" s="62" t="s">
        <v>578</v>
      </c>
      <c r="C16" s="33" t="s">
        <v>579</v>
      </c>
      <c r="D16" s="33" t="s">
        <v>93</v>
      </c>
      <c r="E16" s="33" t="s">
        <v>93</v>
      </c>
      <c r="F16" s="33" t="s">
        <v>580</v>
      </c>
      <c r="G16" s="33" t="s">
        <v>93</v>
      </c>
      <c r="H16" s="33" t="s">
        <v>581</v>
      </c>
      <c r="I16" s="33" t="s">
        <v>93</v>
      </c>
      <c r="J16" s="33" t="s">
        <v>582</v>
      </c>
      <c r="K16" s="33" t="s">
        <v>93</v>
      </c>
      <c r="L16" s="33" t="s">
        <v>583</v>
      </c>
      <c r="M16" s="33" t="s">
        <v>584</v>
      </c>
      <c r="N16" s="33" t="s">
        <v>93</v>
      </c>
      <c r="O16" s="33" t="s">
        <v>585</v>
      </c>
      <c r="P16" s="33" t="s">
        <v>93</v>
      </c>
      <c r="Q16" s="33" t="s">
        <v>93</v>
      </c>
      <c r="R16" s="33" t="s">
        <v>93</v>
      </c>
      <c r="S16" s="33" t="s">
        <v>93</v>
      </c>
      <c r="T16" s="33" t="s">
        <v>93</v>
      </c>
      <c r="U16" s="33" t="s">
        <v>93</v>
      </c>
      <c r="V16" s="33" t="str" cm="1">
        <f t="array" ref="V16">_xlfn.TEXTJOIN(" • ",TRUE,IF((C16:U16&lt;&gt;"—")*(C16:U16&lt;&gt;""),C16:U16,""))</f>
        <v>🏷️ Teams • 🏷️ Google Chat / Meet • 🏷️ Slack (Salesforce) • 🏷️ SAP Jam • 🏷️ Confluence / Jira • 🏷️ Amazon Chime • 🏷️ WhatsApp AI</v>
      </c>
    </row>
    <row r="17" spans="1:22" ht="145" x14ac:dyDescent="0.35">
      <c r="A17" s="60" t="s">
        <v>586</v>
      </c>
      <c r="B17" s="62" t="s">
        <v>587</v>
      </c>
      <c r="C17" s="33" t="s">
        <v>588</v>
      </c>
      <c r="D17" s="33" t="s">
        <v>589</v>
      </c>
      <c r="E17" s="33" t="s">
        <v>665</v>
      </c>
      <c r="F17" s="33" t="s">
        <v>590</v>
      </c>
      <c r="G17" s="33" t="s">
        <v>93</v>
      </c>
      <c r="H17" s="33" t="s">
        <v>93</v>
      </c>
      <c r="I17" s="33" t="s">
        <v>93</v>
      </c>
      <c r="J17" s="33" t="s">
        <v>93</v>
      </c>
      <c r="K17" s="33" t="s">
        <v>93</v>
      </c>
      <c r="L17" s="33" t="s">
        <v>93</v>
      </c>
      <c r="M17" s="33" t="s">
        <v>591</v>
      </c>
      <c r="N17" s="33" t="s">
        <v>592</v>
      </c>
      <c r="O17" s="33" t="s">
        <v>593</v>
      </c>
      <c r="P17" s="33" t="s">
        <v>594</v>
      </c>
      <c r="Q17" s="33" t="s">
        <v>93</v>
      </c>
      <c r="R17" s="33" t="s">
        <v>595</v>
      </c>
      <c r="S17" s="33" t="s">
        <v>93</v>
      </c>
      <c r="T17" s="33" t="s">
        <v>93</v>
      </c>
      <c r="U17" s="33" t="s">
        <v>93</v>
      </c>
      <c r="V17" s="33" t="str" cm="1">
        <f t="array" ref="V17">_xlfn.TEXTJOIN(" • ",TRUE,IF((C17:U17&lt;&gt;"—")*(C17:U17&lt;&gt;""),C17:U17,""))</f>
        <v>🏷️ GitHub Copilot • 🏷️ Claude Code • 🏷️ Codex dans ChatGPT • 🏷️ Gemini Code Assist • 🏷️ Amazon Q Developer • 🏷️ watsonx Code Assistant • 🏷️ Code Llama • 🏷️ Codestral • 🏷️ StarCoder</v>
      </c>
    </row>
    <row r="18" spans="1:22" ht="261" x14ac:dyDescent="0.35">
      <c r="A18" s="60" t="s">
        <v>596</v>
      </c>
      <c r="B18" s="62" t="s">
        <v>597</v>
      </c>
      <c r="C18" s="33" t="s">
        <v>598</v>
      </c>
      <c r="D18" s="33" t="s">
        <v>599</v>
      </c>
      <c r="E18" s="33" t="s">
        <v>666</v>
      </c>
      <c r="F18" s="33" t="s">
        <v>600</v>
      </c>
      <c r="G18" s="33" t="s">
        <v>601</v>
      </c>
      <c r="H18" s="33" t="s">
        <v>602</v>
      </c>
      <c r="I18" s="33" t="s">
        <v>603</v>
      </c>
      <c r="J18" s="33" t="s">
        <v>604</v>
      </c>
      <c r="K18" s="33" t="s">
        <v>605</v>
      </c>
      <c r="L18" s="33" t="s">
        <v>606</v>
      </c>
      <c r="M18" s="33" t="s">
        <v>607</v>
      </c>
      <c r="N18" s="33" t="s">
        <v>608</v>
      </c>
      <c r="O18" s="33" t="s">
        <v>93</v>
      </c>
      <c r="P18" s="33" t="s">
        <v>93</v>
      </c>
      <c r="Q18" s="33" t="s">
        <v>609</v>
      </c>
      <c r="R18" s="33" t="s">
        <v>610</v>
      </c>
      <c r="S18" s="33" t="s">
        <v>93</v>
      </c>
      <c r="T18" s="33" t="s">
        <v>93</v>
      </c>
      <c r="U18" s="33" t="s">
        <v>93</v>
      </c>
      <c r="V18" s="33" t="str" cm="1">
        <f t="array" ref="V18">_xlfn.TEXTJOIN(" • ",TRUE,IF((C18:U18&lt;&gt;"—")*(C18:U18&lt;&gt;""),C18:U18,""))</f>
        <v>🏷️ Azure AI Search / Copilot connectors • 🏷️ Claude + RAG API • 🏷️ Deep Research / Company Knowledge / File Search • 🏷️ Vertex AI Search • 🏷️ Perplexity Pro (sources) • 🏷️ Einstein Search • 🏷️ Now Assist Search • 🏷️ SAP Business AI Search • 🏷️ Oracle AI Vector Search • 🏷️ Atlassian Intelligence • 🏷️ Amazon Kendra • 🏷️ watsonx Discovery • 🏷️ Cohere Rerank • 🏷️ Inference Endpoints</v>
      </c>
    </row>
    <row r="19" spans="1:22" ht="188.5" x14ac:dyDescent="0.35">
      <c r="A19" s="60" t="s">
        <v>611</v>
      </c>
      <c r="B19" s="62" t="s">
        <v>612</v>
      </c>
      <c r="C19" s="33" t="s">
        <v>613</v>
      </c>
      <c r="D19" s="33" t="s">
        <v>614</v>
      </c>
      <c r="E19" s="33" t="s">
        <v>667</v>
      </c>
      <c r="F19" s="33" t="s">
        <v>615</v>
      </c>
      <c r="G19" s="33" t="s">
        <v>93</v>
      </c>
      <c r="H19" s="33" t="s">
        <v>616</v>
      </c>
      <c r="I19" s="33" t="s">
        <v>617</v>
      </c>
      <c r="J19" s="33" t="s">
        <v>618</v>
      </c>
      <c r="K19" s="33" t="s">
        <v>619</v>
      </c>
      <c r="L19" s="33" t="s">
        <v>93</v>
      </c>
      <c r="M19" s="33" t="s">
        <v>620</v>
      </c>
      <c r="N19" s="33" t="s">
        <v>621</v>
      </c>
      <c r="O19" s="33" t="s">
        <v>93</v>
      </c>
      <c r="P19" s="33" t="s">
        <v>93</v>
      </c>
      <c r="Q19" s="33" t="s">
        <v>93</v>
      </c>
      <c r="R19" s="33" t="s">
        <v>93</v>
      </c>
      <c r="S19" s="33" t="s">
        <v>93</v>
      </c>
      <c r="T19" s="33" t="s">
        <v>93</v>
      </c>
      <c r="U19" s="33" t="s">
        <v>93</v>
      </c>
      <c r="V19" s="33" t="str" cm="1">
        <f t="array" ref="V19">_xlfn.TEXTJOIN(" • ",TRUE,IF((C19:U19&lt;&gt;"—")*(C19:U19&lt;&gt;""),C19:U19,""))</f>
        <v>🏷️ Copilot in Power BI / Excel • 🏷️ Claude (analyse docs) • 🏷️ Analyse de données dans ChatGPT • 🏷️ Gemini in Looker • 🏷️ Tableau AI (Einstein) • 🏷️ Now Assist Analytics • 🏷️ SAP Analytics Cloud AI • 🏷️ Oracle Analytics AI • 🏷️ Amazon QuickSight Q • 🏷️ watsonx.ai</v>
      </c>
    </row>
    <row r="20" spans="1:22" ht="217.5" x14ac:dyDescent="0.35">
      <c r="A20" s="60" t="s">
        <v>622</v>
      </c>
      <c r="B20" s="62" t="s">
        <v>623</v>
      </c>
      <c r="C20" s="33" t="s">
        <v>624</v>
      </c>
      <c r="D20" s="33" t="s">
        <v>625</v>
      </c>
      <c r="E20" s="33" t="s">
        <v>668</v>
      </c>
      <c r="F20" s="33" t="s">
        <v>626</v>
      </c>
      <c r="G20" s="33" t="s">
        <v>93</v>
      </c>
      <c r="H20" s="33" t="s">
        <v>627</v>
      </c>
      <c r="I20" s="33" t="s">
        <v>93</v>
      </c>
      <c r="J20" s="33" t="s">
        <v>628</v>
      </c>
      <c r="K20" s="33" t="s">
        <v>93</v>
      </c>
      <c r="L20" s="33" t="s">
        <v>629</v>
      </c>
      <c r="M20" s="33" t="s">
        <v>630</v>
      </c>
      <c r="N20" s="33" t="s">
        <v>631</v>
      </c>
      <c r="O20" s="33" t="s">
        <v>632</v>
      </c>
      <c r="P20" s="33" t="s">
        <v>93</v>
      </c>
      <c r="Q20" s="33" t="s">
        <v>93</v>
      </c>
      <c r="R20" s="33" t="s">
        <v>93</v>
      </c>
      <c r="S20" s="33" t="s">
        <v>93</v>
      </c>
      <c r="T20" s="33" t="s">
        <v>93</v>
      </c>
      <c r="U20" s="33" t="s">
        <v>93</v>
      </c>
      <c r="V20" s="33" t="str" cm="1">
        <f t="array" ref="V20">_xlfn.TEXTJOIN(" • ",TRUE,IF((C20:U20&lt;&gt;"—")*(C20:U20&lt;&gt;""),C20:U20,""))</f>
        <v>🏷️ Microsoft Purview / Entra • 🏷️ Claude Admin Console • 🏷️ Contrôles admin ChatGPT / OpenAI Frontier • 🏷️ Vertex AI Governance • 🏷️ Salesforce Shield + Einstein Trust • 🏷️ SAP AI Core Governance • 🏷️ Atlassian Guard • 🏷️ Amazon Bedrock Guardrails • 🏷️ watsonx.governance • 🏷️ Llama Guard</v>
      </c>
    </row>
    <row r="21" spans="1:22" ht="101.5" x14ac:dyDescent="0.35">
      <c r="A21" s="60" t="s">
        <v>633</v>
      </c>
      <c r="B21" s="62" t="s">
        <v>634</v>
      </c>
      <c r="C21" s="33" t="s">
        <v>635</v>
      </c>
      <c r="D21" s="33" t="s">
        <v>93</v>
      </c>
      <c r="E21" s="33" t="s">
        <v>669</v>
      </c>
      <c r="F21" s="33" t="s">
        <v>636</v>
      </c>
      <c r="G21" s="33" t="s">
        <v>93</v>
      </c>
      <c r="H21" s="33" t="s">
        <v>93</v>
      </c>
      <c r="I21" s="33" t="s">
        <v>93</v>
      </c>
      <c r="J21" s="33" t="s">
        <v>93</v>
      </c>
      <c r="K21" s="33" t="s">
        <v>93</v>
      </c>
      <c r="L21" s="33" t="s">
        <v>93</v>
      </c>
      <c r="M21" s="33" t="s">
        <v>637</v>
      </c>
      <c r="N21" s="33" t="s">
        <v>93</v>
      </c>
      <c r="O21" s="33" t="s">
        <v>93</v>
      </c>
      <c r="P21" s="33" t="s">
        <v>93</v>
      </c>
      <c r="Q21" s="33" t="s">
        <v>93</v>
      </c>
      <c r="R21" s="33" t="s">
        <v>638</v>
      </c>
      <c r="S21" s="33" t="s">
        <v>93</v>
      </c>
      <c r="T21" s="33" t="s">
        <v>93</v>
      </c>
      <c r="U21" s="33" t="s">
        <v>93</v>
      </c>
      <c r="V21" s="33" t="str" cm="1">
        <f t="array" ref="V21">_xlfn.TEXTJOIN(" • ",TRUE,IF((C21:U21&lt;&gt;"—")*(C21:U21&lt;&gt;""),C21:U21,""))</f>
        <v>🏷️ DALL-E (via Copilot) / Designer • 🏷️ ChatGPT Images • 🏷️ Imagen / Gemini • 🏷️ Amazon Titan Image • 🏷️ Stable Diffusion (Hub)</v>
      </c>
    </row>
    <row r="22" spans="1:22" ht="145" x14ac:dyDescent="0.35">
      <c r="A22" s="60" t="s">
        <v>639</v>
      </c>
      <c r="B22" s="62" t="s">
        <v>640</v>
      </c>
      <c r="C22" s="33" t="s">
        <v>641</v>
      </c>
      <c r="D22" s="33" t="s">
        <v>93</v>
      </c>
      <c r="E22" s="33" t="s">
        <v>670</v>
      </c>
      <c r="F22" s="33" t="s">
        <v>642</v>
      </c>
      <c r="G22" s="33" t="s">
        <v>93</v>
      </c>
      <c r="H22" s="33" t="s">
        <v>643</v>
      </c>
      <c r="I22" s="33" t="s">
        <v>93</v>
      </c>
      <c r="J22" s="33" t="s">
        <v>93</v>
      </c>
      <c r="K22" s="33" t="s">
        <v>93</v>
      </c>
      <c r="L22" s="33" t="s">
        <v>93</v>
      </c>
      <c r="M22" s="33" t="s">
        <v>644</v>
      </c>
      <c r="N22" s="33" t="s">
        <v>645</v>
      </c>
      <c r="O22" s="33" t="s">
        <v>93</v>
      </c>
      <c r="P22" s="33" t="s">
        <v>93</v>
      </c>
      <c r="Q22" s="33" t="s">
        <v>93</v>
      </c>
      <c r="R22" s="33" t="s">
        <v>646</v>
      </c>
      <c r="S22" s="33" t="s">
        <v>93</v>
      </c>
      <c r="T22" s="33" t="s">
        <v>93</v>
      </c>
      <c r="U22" s="33" t="s">
        <v>93</v>
      </c>
      <c r="V22" s="33" t="str" cm="1">
        <f t="array" ref="V22">_xlfn.TEXTJOIN(" • ",TRUE,IF((C22:U22&lt;&gt;"—")*(C22:U22&lt;&gt;""),C22:U22,""))</f>
        <v>🏷️ Copilot in Teams / Recall • 🏷️ ChatGPT Voice / Whisper API • 🏷️ Google Meet AI notes • 🏷️ Einstein Conversation Insights • 🏷️ Amazon Transcribe • 🏷️ watsonx Speech to Text • 🏷️ Whisper (Hub)</v>
      </c>
    </row>
  </sheetData>
  <mergeCells count="3">
    <mergeCell ref="A1:U1"/>
    <mergeCell ref="A2:U2"/>
    <mergeCell ref="A3:U3"/>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6B774-C85E-4077-897D-BFFAF66F7C99}">
  <sheetPr>
    <tabColor rgb="FFB77CFF"/>
  </sheetPr>
  <dimension ref="A1:J39"/>
  <sheetViews>
    <sheetView showGridLines="0" workbookViewId="0">
      <pane ySplit="7" topLeftCell="A8" activePane="bottomLeft" state="frozen"/>
      <selection pane="bottomLeft" activeCell="A5" sqref="A5:J5"/>
    </sheetView>
  </sheetViews>
  <sheetFormatPr baseColWidth="10" defaultRowHeight="14.5" x14ac:dyDescent="0.35"/>
  <cols>
    <col min="1" max="1" width="23.6328125" customWidth="1"/>
    <col min="2" max="2" width="12.453125" bestFit="1" customWidth="1"/>
    <col min="3" max="3" width="26.08984375" bestFit="1" customWidth="1"/>
    <col min="4" max="4" width="28.1796875" bestFit="1" customWidth="1"/>
    <col min="5" max="5" width="29.90625" bestFit="1" customWidth="1"/>
    <col min="6" max="6" width="12.08984375" bestFit="1" customWidth="1"/>
    <col min="7" max="7" width="10.54296875" bestFit="1" customWidth="1"/>
    <col min="8" max="8" width="27.54296875" bestFit="1" customWidth="1"/>
    <col min="9" max="9" width="21" bestFit="1" customWidth="1"/>
    <col min="10" max="10" width="20.453125" bestFit="1" customWidth="1"/>
  </cols>
  <sheetData>
    <row r="1" spans="1:10" ht="36" customHeight="1" thickBot="1" x14ac:dyDescent="0.4">
      <c r="A1" s="144" t="s">
        <v>682</v>
      </c>
      <c r="B1" s="144"/>
      <c r="C1" s="144"/>
      <c r="D1" s="144"/>
      <c r="E1" s="144"/>
      <c r="F1" s="144"/>
      <c r="G1" s="144"/>
      <c r="H1" s="144"/>
      <c r="I1" s="144"/>
      <c r="J1" s="144"/>
    </row>
    <row r="2" spans="1:10" ht="30" customHeight="1" thickTop="1" x14ac:dyDescent="0.35">
      <c r="A2" s="145" t="s">
        <v>1204</v>
      </c>
      <c r="B2" s="145"/>
      <c r="C2" s="145"/>
      <c r="D2" s="145"/>
      <c r="E2" s="145"/>
      <c r="F2" s="145"/>
      <c r="G2" s="145"/>
      <c r="H2" s="145"/>
      <c r="I2" s="145"/>
      <c r="J2" s="145"/>
    </row>
    <row r="3" spans="1:10" ht="18" customHeight="1" x14ac:dyDescent="0.35">
      <c r="A3" s="149" t="s">
        <v>1982</v>
      </c>
      <c r="B3" s="149"/>
      <c r="C3" s="149"/>
      <c r="D3" s="149"/>
      <c r="E3" s="149"/>
      <c r="F3" s="149"/>
      <c r="G3" s="149"/>
      <c r="H3" s="149"/>
      <c r="I3" s="149"/>
      <c r="J3" s="149"/>
    </row>
    <row r="4" spans="1:10" ht="28" customHeight="1" x14ac:dyDescent="0.35">
      <c r="A4" s="39" t="s">
        <v>1058</v>
      </c>
      <c r="B4" s="146"/>
      <c r="C4" s="150"/>
      <c r="D4" s="150"/>
      <c r="E4" s="150"/>
      <c r="F4" s="150"/>
      <c r="G4" s="150"/>
      <c r="H4" s="150"/>
      <c r="I4" s="150"/>
      <c r="J4" s="147"/>
    </row>
    <row r="5" spans="1:10" ht="26" customHeight="1" x14ac:dyDescent="0.35">
      <c r="A5" s="148" t="s">
        <v>683</v>
      </c>
      <c r="B5" s="148"/>
      <c r="C5" s="148"/>
      <c r="D5" s="148"/>
      <c r="E5" s="148"/>
      <c r="F5" s="148"/>
      <c r="G5" s="148"/>
      <c r="H5" s="148"/>
      <c r="I5" s="148"/>
      <c r="J5" s="148"/>
    </row>
    <row r="6" spans="1:10" x14ac:dyDescent="0.35">
      <c r="A6" s="32"/>
      <c r="B6" s="32"/>
      <c r="C6" s="32"/>
      <c r="D6" s="32"/>
      <c r="E6" s="32"/>
      <c r="F6" s="32"/>
      <c r="G6" s="32"/>
      <c r="H6" s="32"/>
      <c r="I6" s="32"/>
      <c r="J6" s="32"/>
    </row>
    <row r="7" spans="1:10" ht="30" customHeight="1" x14ac:dyDescent="0.35">
      <c r="A7" s="42" t="s">
        <v>361</v>
      </c>
      <c r="B7" s="41" t="s">
        <v>362</v>
      </c>
      <c r="C7" s="41" t="s">
        <v>439</v>
      </c>
      <c r="D7" s="41" t="s">
        <v>363</v>
      </c>
      <c r="E7" s="41" t="s">
        <v>410</v>
      </c>
      <c r="F7" s="41" t="s">
        <v>371</v>
      </c>
      <c r="G7" s="41" t="s">
        <v>411</v>
      </c>
      <c r="H7" s="41" t="s">
        <v>412</v>
      </c>
      <c r="I7" s="41" t="s">
        <v>425</v>
      </c>
      <c r="J7" s="43" t="s">
        <v>434</v>
      </c>
    </row>
    <row r="8" spans="1:10" ht="116" x14ac:dyDescent="0.35">
      <c r="A8" s="52" t="str" cm="1">
        <f t="array" ref="A8:J15">_xlfn.LET(_xlpm.q,LOWER(TRIM($B$4)),_xlpm.sourceData,Tableau7[#Data],_xlpm.displayData,_xlfn.CHOOSECOLS(_xlpm.sourceData,2,3,4,5,6,7,8,9,10,11),_xlpm.sortOrder,Tableau7[Ordre],_xlpm.hay,_xlfn.BYROW(_xlpm.displayData,_xlfn.LAMBDA(_xlpm.rowText,LOWER(_xlfn.TEXTJOIN(" ",TRUE,_xlpm.rowText)))),IF(_xlpm.q="",_xlfn.SORTBY(_xlpm.displayData,_xlpm.sortOrder,1),IFERROR(_xlfn.SORTBY(_xlfn._xlws.FILTER(_xlpm.displayData,ISNUMBER(SEARCH(_xlpm.q,_xlpm.hay))),_xlfn._xlws.FILTER(_xlpm.sortOrder,ISNUMBER(SEARCH(_xlpm.q,_xlpm.hay))),1),"Aucun résultat : essayez un terme plus simple ou un synonyme")))</f>
        <v>AB-730
AI Business Professional</v>
      </c>
      <c r="B8" s="36" t="str">
        <v>Débutant</v>
      </c>
      <c r="C8" s="36" t="str">
        <v>Business</v>
      </c>
      <c r="D8" s="36" t="str">
        <v>Utilisateurs avancés de Copilot, BA, knowledge workers</v>
      </c>
      <c r="E8" s="36" t="str">
        <v>Améliorer les résultats métier avec l’IA générative et Microsoft 365 Copilot, sans coder.
Compétences : Fondamentaux GenAI ; prompts et conversations ; agents ; rédaction et analyse de contenu métier</v>
      </c>
      <c r="F8" s="57" t="str">
        <v>Immédiate</v>
      </c>
      <c r="G8" s="45">
        <v>1</v>
      </c>
      <c r="H8" s="36" t="str">
        <v>⭐⭐⭐⭐⭐ Cible la plus directe pour valoriser ton usage métier de Copilot.
Quand : Après une pratique régulière de Microsoft 365 Copilot</v>
      </c>
      <c r="I8" s="36" t="str">
        <v>https://learn.microsoft.com/fr-fr/credentials/certifications/ai-business-professional/</v>
      </c>
      <c r="J8" s="36" t="str">
        <v>76 € HT*
Examen payant ; préparation Microsoft Learn gratuite</v>
      </c>
    </row>
    <row r="9" spans="1:10" ht="87" x14ac:dyDescent="0.35">
      <c r="A9" s="52" t="str">
        <v>AI-900
Azure AI Fundamentals</v>
      </c>
      <c r="B9" s="36" t="str">
        <v>Débutant</v>
      </c>
      <c r="C9" s="36" t="str">
        <v>Fundamentals / Technique</v>
      </c>
      <c r="D9" s="36" t="str">
        <v>Débutants IA, profils métier ou techniques</v>
      </c>
      <c r="E9" s="36" t="str">
        <v>Construire un socle commun sur les charges de travail IA et les services Azure AI.
Compétences : Machine learning ; vision ; NLP ; IA générative ; principes d’IA responsable</v>
      </c>
      <c r="F9" s="57" t="str">
        <v>Haute</v>
      </c>
      <c r="G9" s="45">
        <v>2</v>
      </c>
      <c r="H9" s="36" t="str">
        <v>⭐⭐⭐⭐⭐ Excellent socle conceptuel, reconnu et transversal.
Quand : Au début du parcours ou en parallèle d’AB-730</v>
      </c>
      <c r="I9" s="36" t="str">
        <v>https://learn.microsoft.com/fr-fr/credentials/certifications/azure-ai-fundamentals/</v>
      </c>
      <c r="J9" s="36" t="str">
        <v>76 € HT*
Examen payant ; préparation Microsoft Learn gratuite</v>
      </c>
    </row>
    <row r="10" spans="1:10" ht="101.5" x14ac:dyDescent="0.35">
      <c r="A10" s="52" t="str">
        <v>PL-900
Power Platform Fundamentals</v>
      </c>
      <c r="B10" s="36" t="str">
        <v>Débutant</v>
      </c>
      <c r="C10" s="36" t="str">
        <v>Fundamentals / Low-code</v>
      </c>
      <c r="D10" s="36" t="str">
        <v>BA, Citizen Developers, makers</v>
      </c>
      <c r="E10" s="36" t="str">
        <v>Comprendre Power Platform pour automatiser, analyser et créer des solutions low-code.
Compétences : Power Apps ; Power Automate ; Dataverse ; Power BI ; valeur métier de Power Platform</v>
      </c>
      <c r="F10" s="57" t="str">
        <v>Haute</v>
      </c>
      <c r="G10" s="45">
        <v>3</v>
      </c>
      <c r="H10" s="36" t="str">
        <v>⭐⭐⭐⭐⭐ Complément naturel à Copilot Studio et aux agents.
Quand : Après le socle IA, avant un parcours builder</v>
      </c>
      <c r="I10" s="36" t="str">
        <v>https://learn.microsoft.com/fr-fr/credentials/certifications/power-platform-fundamentals/</v>
      </c>
      <c r="J10" s="36" t="str">
        <v>76 € HT*
Examen payant ; préparation Microsoft Learn gratuite</v>
      </c>
    </row>
    <row r="11" spans="1:10" ht="130.5" x14ac:dyDescent="0.35">
      <c r="A11" s="52" t="str">
        <v>Applied Skill
Créer un agent dans Microsoft Copilot Studio</v>
      </c>
      <c r="B11" s="36" t="str">
        <v>Intermédiaire</v>
      </c>
      <c r="C11" s="36" t="str">
        <v>Applied Skills / Copilot Studio</v>
      </c>
      <c r="D11" s="36" t="str">
        <v>Créateurs d’applications, utilisateurs métier, makers Copilot Studio</v>
      </c>
      <c r="E11" s="36" t="str">
        <v>Démontrer la capacité à créer et publier un agent dans Copilot Studio.
Compétences : configuration de l’agent ; IA générative et connaissances ; rubriques ; outils ; partage et publication.</v>
      </c>
      <c r="F11" s="57" t="str">
        <v>Haute</v>
      </c>
      <c r="G11" s="45">
        <v>4</v>
      </c>
      <c r="H11" s="36" t="str">
        <v>⭐⭐⭐⭐⭐ Validation pratique directement utile avant un parcours builder avancé.
Quand : après PL-900 et une première pratique de Copilot Studio. Préparation : 3 h 52 ; évaluation pratique : 2 h, en anglais.</v>
      </c>
      <c r="I11" s="36" t="str">
        <v>https://learn.microsoft.com/fr-fr/credentials/applied-skills/build-an-agent-in-microsoft-copilot-studio/</v>
      </c>
      <c r="J11" s="36" t="str">
        <v>Gratuite*
Parcours et évaluation Microsoft Learn</v>
      </c>
    </row>
    <row r="12" spans="1:10" ht="116" x14ac:dyDescent="0.35">
      <c r="A12" s="52" t="str">
        <v>Applied Skill
Améliorer les agents avec des fonctionnalités autonomes</v>
      </c>
      <c r="B12" s="36" t="str">
        <v>Intermédiaire</v>
      </c>
      <c r="C12" s="36" t="str">
        <v>Applied Skills / Agentique</v>
      </c>
      <c r="D12" s="36" t="str">
        <v>Makers et développeurs connaissant Copilot Studio, Power Automate et Dataverse</v>
      </c>
      <c r="E12" s="36" t="str">
        <v>Ajouter des capacités autonomes à un agent Copilot Studio.
Compétences : connaissances ; agent flows comme outils ; déclencheurs d’événements ; gestion des erreurs ; interaction humaine.</v>
      </c>
      <c r="F12" s="57" t="str">
        <v>Haute</v>
      </c>
      <c r="G12" s="45">
        <v>5</v>
      </c>
      <c r="H12" s="36" t="str">
        <v>⭐⭐⭐⭐⭐ Étape pratique idéale entre la création d’un agent simple et AB-620.
Quand : après l’Applied Skill de création d’agent. Préparation : 2 h ; évaluation pratique : 45 min, en anglais.</v>
      </c>
      <c r="I12" s="36" t="str">
        <v>https://learn.microsoft.com/fr-fr/credentials/applied-skills/enhance-agents-with-autonomous-capabilities/</v>
      </c>
      <c r="J12" s="36" t="str">
        <v>Gratuite*
Parcours et évaluation Microsoft Learn</v>
      </c>
    </row>
    <row r="13" spans="1:10" ht="101.5" x14ac:dyDescent="0.35">
      <c r="A13" s="52" t="str">
        <v>AB-620
AI Agent Builder Associate</v>
      </c>
      <c r="B13" s="36" t="str">
        <v>Intermédiaire</v>
      </c>
      <c r="C13" s="36" t="str">
        <v>Associate / Builder</v>
      </c>
      <c r="D13" s="36" t="str">
        <v>Builders avancés, développeurs, consultants Power Platform</v>
      </c>
      <c r="E13" s="36" t="str">
        <v>Concevoir, intégrer, sécuriser, tester et exploiter des agents d’entreprise dans Copilot Studio.
Compétences : Agent flows ; Dataverse ; connecteurs/API ; RAG ; MCP/A2A ; multi-agent ; ALM et gouvernance</v>
      </c>
      <c r="F13" s="57" t="str">
        <v>Moyen terme</v>
      </c>
      <c r="G13" s="45">
        <v>6</v>
      </c>
      <c r="H13" s="36" t="str">
        <v>⭐⭐⭐⭐ Très pertinent si tu veux construire et intégrer des agents.
Quand : Après PL-900 et une pratique concrète de Copilot Studio</v>
      </c>
      <c r="I13" s="36" t="str">
        <v>https://learn.microsoft.com/fr-fr/credentials/certifications/ai-agent-builder-associate/</v>
      </c>
      <c r="J13" s="36" t="str">
        <v>165 USD* — prix France à confirmer lors de l’inscription
Examen payant ; préparation Microsoft Learn gratuite</v>
      </c>
    </row>
    <row r="14" spans="1:10" ht="116" x14ac:dyDescent="0.35">
      <c r="A14" s="52" t="str">
        <v>DP-900
Azure Data Fundamentals</v>
      </c>
      <c r="B14" s="36" t="str">
        <v>Débutant</v>
      </c>
      <c r="C14" s="36" t="str">
        <v>Fundamentals / Data</v>
      </c>
      <c r="D14" s="36" t="str">
        <v>BA orientés data, débutants Azure Data</v>
      </c>
      <c r="E14" s="36" t="str">
        <v>Acquérir le vocabulaire et les principes des données relationnelles, non relationnelles et analytiques.
Compétences : Données relationnelles ; NoSQL ; analytics ; services de données Azure</v>
      </c>
      <c r="F14" s="57" t="str">
        <v>Complément</v>
      </c>
      <c r="G14" s="45">
        <v>7</v>
      </c>
      <c r="H14" s="36" t="str">
        <v>⭐⭐⭐⭐ Bon bonus pour mieux comprendre les sources et architectures de données.
Quand : Quand les sujets data, RAG ou gouvernance deviennent plus présents</v>
      </c>
      <c r="I14" s="36" t="str">
        <v>https://learn.microsoft.com/fr-fr/credentials/certifications/azure-data-fundamentals/</v>
      </c>
      <c r="J14" s="36" t="str">
        <v>76 € HT*
Examen payant ; préparation Microsoft Learn gratuite</v>
      </c>
    </row>
    <row r="15" spans="1:10" ht="116" x14ac:dyDescent="0.35">
      <c r="A15" s="52" t="str">
        <v>AB-731
AI Transformation Leader</v>
      </c>
      <c r="B15" s="36" t="str">
        <v>Débutant</v>
      </c>
      <c r="C15" s="36" t="str">
        <v>Business / Leadership</v>
      </c>
      <c r="D15" s="36" t="str">
        <v>Managers, sponsors IA, responsables transformation</v>
      </c>
      <c r="E15" s="36" t="str">
        <v>Identifier la valeur de l’IA, choisir les solutions et piloter adoption, gouvernance et transformation.
Compétences : Business value ; portefeuille Microsoft AI ; ROI ; IA responsable ; stratégie d’adoption et conduite du changement</v>
      </c>
      <c r="F15" s="57" t="str">
        <v>Selon le rôle</v>
      </c>
      <c r="G15" s="45">
        <v>8</v>
      </c>
      <c r="H15" s="36" t="str">
        <v>⭐⭐⭐ Moins prioritaire aujourd’hui, mais très utile pour un rôle de management ou de sponsor.
Quand : À remonter dans le classement si tu pilotes une adoption ou une transformation IA</v>
      </c>
      <c r="I15" s="36" t="str">
        <v>https://learn.microsoft.com/fr-fr/credentials/certifications/ai-transformation-leader/</v>
      </c>
      <c r="J15" s="36" t="str">
        <v>76 € HT*
Examen payant ; préparation Microsoft Learn gratuite</v>
      </c>
    </row>
    <row r="16" spans="1:10" x14ac:dyDescent="0.35">
      <c r="A16" s="32"/>
      <c r="B16" s="32"/>
      <c r="C16" s="32"/>
      <c r="D16" s="32"/>
      <c r="E16" s="32"/>
      <c r="F16" s="32"/>
      <c r="G16" s="32"/>
      <c r="H16" s="32"/>
      <c r="I16" s="32"/>
      <c r="J16" s="32"/>
    </row>
    <row r="17" spans="1:10" ht="26" customHeight="1" x14ac:dyDescent="0.35">
      <c r="A17" s="248" t="s">
        <v>2299</v>
      </c>
      <c r="B17" s="130"/>
      <c r="C17" s="130"/>
      <c r="D17" s="130"/>
      <c r="E17" s="130"/>
      <c r="F17" s="130"/>
      <c r="G17" s="130"/>
      <c r="H17" s="130"/>
      <c r="I17" s="130"/>
      <c r="J17" s="130"/>
    </row>
    <row r="18" spans="1:10" ht="28" customHeight="1" x14ac:dyDescent="0.35">
      <c r="A18" s="249" t="s">
        <v>2300</v>
      </c>
      <c r="B18" s="202"/>
      <c r="C18" s="202"/>
      <c r="D18" s="202"/>
      <c r="E18" s="202"/>
      <c r="F18" s="202"/>
      <c r="G18" s="202"/>
      <c r="H18" s="202"/>
      <c r="I18" s="202"/>
      <c r="J18" s="202"/>
    </row>
    <row r="19" spans="1:10" ht="2" customHeight="1" x14ac:dyDescent="0.35"/>
    <row r="20" spans="1:10" ht="2" customHeight="1" x14ac:dyDescent="0.35"/>
    <row r="21" spans="1:10" ht="2" customHeight="1" x14ac:dyDescent="0.35"/>
    <row r="22" spans="1:10" ht="2" customHeight="1" x14ac:dyDescent="0.35"/>
    <row r="23" spans="1:10" ht="2" customHeight="1" x14ac:dyDescent="0.35"/>
    <row r="24" spans="1:10" ht="2" customHeight="1" x14ac:dyDescent="0.35"/>
    <row r="25" spans="1:10" ht="2" customHeight="1" x14ac:dyDescent="0.35"/>
    <row r="26" spans="1:10" ht="2" customHeight="1" x14ac:dyDescent="0.35"/>
    <row r="27" spans="1:10" ht="2" customHeight="1" x14ac:dyDescent="0.35"/>
    <row r="28" spans="1:10" ht="2" customHeight="1" x14ac:dyDescent="0.35"/>
    <row r="29" spans="1:10" ht="2" customHeight="1" x14ac:dyDescent="0.35"/>
    <row r="30" spans="1:10" ht="2" customHeight="1" x14ac:dyDescent="0.35"/>
    <row r="31" spans="1:10" ht="2" customHeight="1" x14ac:dyDescent="0.35"/>
    <row r="32" spans="1:10" ht="2" customHeight="1" x14ac:dyDescent="0.35"/>
    <row r="33" ht="2" customHeight="1" x14ac:dyDescent="0.35"/>
    <row r="34" ht="2" customHeight="1" x14ac:dyDescent="0.35"/>
    <row r="35" ht="2" customHeight="1" x14ac:dyDescent="0.35"/>
    <row r="36" ht="2" customHeight="1" x14ac:dyDescent="0.35"/>
    <row r="37" ht="2" customHeight="1" x14ac:dyDescent="0.35"/>
    <row r="38" ht="2" customHeight="1" x14ac:dyDescent="0.35"/>
    <row r="39" ht="2" customHeight="1" x14ac:dyDescent="0.35"/>
  </sheetData>
  <autoFilter ref="A7:J7" xr:uid="{73B6B774-C85E-4077-897D-BFFAF66F7C99}"/>
  <mergeCells count="7">
    <mergeCell ref="A1:J1"/>
    <mergeCell ref="A2:J2"/>
    <mergeCell ref="B4:J4"/>
    <mergeCell ref="A5:J5"/>
    <mergeCell ref="A18:J18"/>
    <mergeCell ref="A3:J3"/>
    <mergeCell ref="A17:J17"/>
  </mergeCells>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B1F53-9825-43F2-BE04-88450A0E3B1E}">
  <sheetPr>
    <tabColor rgb="FFFF4FB8"/>
  </sheetPr>
  <dimension ref="A1:H51"/>
  <sheetViews>
    <sheetView showGridLines="0" workbookViewId="0">
      <pane ySplit="7" topLeftCell="A8" activePane="bottomLeft" state="frozen"/>
      <selection pane="bottomLeft" activeCell="E5" sqref="E5"/>
    </sheetView>
  </sheetViews>
  <sheetFormatPr baseColWidth="10" defaultRowHeight="14.5" x14ac:dyDescent="0.35"/>
  <cols>
    <col min="1" max="1" width="10.26953125" bestFit="1" customWidth="1"/>
    <col min="2" max="2" width="5.90625" bestFit="1" customWidth="1"/>
    <col min="3" max="4" width="30.90625" customWidth="1"/>
    <col min="5" max="5" width="27.26953125" customWidth="1"/>
    <col min="6" max="6" width="53.08984375" customWidth="1"/>
    <col min="7" max="8" width="25.453125" customWidth="1"/>
  </cols>
  <sheetData>
    <row r="1" spans="1:8" ht="25" thickBot="1" x14ac:dyDescent="0.4">
      <c r="A1" s="154" t="s">
        <v>935</v>
      </c>
      <c r="B1" s="154"/>
      <c r="C1" s="154"/>
      <c r="D1" s="154"/>
      <c r="E1" s="154"/>
      <c r="F1" s="154"/>
      <c r="G1" s="154"/>
      <c r="H1" s="154"/>
    </row>
    <row r="2" spans="1:8" ht="15" thickTop="1" x14ac:dyDescent="0.35">
      <c r="A2" s="145" t="s">
        <v>936</v>
      </c>
      <c r="B2" s="145"/>
      <c r="C2" s="145"/>
      <c r="D2" s="145"/>
      <c r="E2" s="145"/>
      <c r="F2" s="145"/>
      <c r="G2" s="145"/>
      <c r="H2" s="145"/>
    </row>
    <row r="3" spans="1:8" ht="18" customHeight="1" x14ac:dyDescent="0.35">
      <c r="A3" s="149" t="s">
        <v>1982</v>
      </c>
      <c r="B3" s="149"/>
      <c r="C3" s="149"/>
      <c r="D3" s="149"/>
      <c r="E3" s="149"/>
      <c r="F3" s="149"/>
      <c r="G3" s="149"/>
      <c r="H3" s="149"/>
    </row>
    <row r="4" spans="1:8" ht="29" x14ac:dyDescent="0.35">
      <c r="A4" s="79" t="s">
        <v>1059</v>
      </c>
      <c r="B4" s="155"/>
      <c r="C4" s="156"/>
      <c r="D4" s="156"/>
      <c r="E4" s="156"/>
      <c r="F4" s="156"/>
      <c r="G4" s="156"/>
      <c r="H4" s="157"/>
    </row>
    <row r="5" spans="1:8" ht="43.5" x14ac:dyDescent="0.35">
      <c r="A5" s="59" t="s">
        <v>937</v>
      </c>
      <c r="B5" s="59"/>
      <c r="C5" s="59" t="s">
        <v>938</v>
      </c>
      <c r="D5" s="59"/>
      <c r="E5" s="59" t="s">
        <v>939</v>
      </c>
      <c r="F5" s="59"/>
      <c r="G5" s="59" t="s">
        <v>940</v>
      </c>
      <c r="H5" s="59"/>
    </row>
    <row r="6" spans="1:8" x14ac:dyDescent="0.35">
      <c r="A6" s="33"/>
      <c r="B6" s="33"/>
      <c r="C6" s="33"/>
      <c r="D6" s="33"/>
      <c r="E6" s="33"/>
      <c r="F6" s="33"/>
      <c r="G6" s="33"/>
      <c r="H6" s="33"/>
    </row>
    <row r="7" spans="1:8" x14ac:dyDescent="0.35">
      <c r="A7" s="42" t="s">
        <v>1060</v>
      </c>
      <c r="B7" s="41" t="s">
        <v>686</v>
      </c>
      <c r="C7" s="41" t="s">
        <v>439</v>
      </c>
      <c r="D7" s="41" t="s">
        <v>1061</v>
      </c>
      <c r="E7" s="41" t="s">
        <v>1062</v>
      </c>
      <c r="F7" s="41" t="s">
        <v>1063</v>
      </c>
      <c r="G7" s="41" t="s">
        <v>691</v>
      </c>
      <c r="H7" s="43" t="s">
        <v>1064</v>
      </c>
    </row>
    <row r="8" spans="1:8" ht="29" x14ac:dyDescent="0.35">
      <c r="A8" s="36" cm="1">
        <f t="array" ref="A8:H47">_xlfn.LET(_xlpm.q,LOWER(TRIM($B$4)),_xlpm.tool,LOWER(TRIM($B$5)),_xlpm.cat,LOWER(TRIM($D$5)),_xlpm.lvl,LOWER(TRIM($F$5)),_xlpm.stat,LOWER(TRIM($H$5)),_xlpm.id,BibliothequePrompts[ID],_xlpm.title,BibliothequePrompts[Titre],_xlpm.need,BibliothequePrompts[Besoin / intention],_xlpm.cats,BibliothequePrompts[Catégorie],_xlpm.tools,BibliothequePrompts[Outil],_xlpm.apps,BibliothequePrompts[Application],_xlpm.ptext,BibliothequePrompts[Prompt],_xlpm.vars,BibliothequePrompts[Variables],_xlpm.levels,BibliothequePrompts[Signal de maturité],_xlpm.source,BibliothequePrompts[Source],_xlpm.status,BibliothequePrompts[Statut],_xlpm.hay,LOWER(_xlpm.title&amp;" "&amp;_xlpm.need&amp;" "&amp;_xlpm.cats&amp;" "&amp;_xlpm.tools&amp;" "&amp;_xlpm.apps&amp;" "&amp;_xlpm.ptext&amp;" "&amp;_xlpm.vars),_xlpm.words,IF(_xlpm.q="","",_xlfn._xlws.FILTER(_xlfn.TEXTSPLIT(_xlpm.q," "),_xlfn.TEXTSPLIT(_xlpm.q," ")&lt;&gt;"")),_xlpm.scores,IF(_xlpm.q="",_xlfn.SEQUENCE(ROWS(_xlpm.id),1,1,0),_xlfn.MAP(_xlpm.hay,_xlfn.LAMBDA(_xlpm.x,SUM(--ISNUMBER(SEARCH(_xlpm.words,_xlpm.x)))))),_xlpm.keep,(_xlpm.scores&gt;0)*IF(_xlpm.tool="",1,ISNUMBER(SEARCH(_xlpm.tool,LOWER(_xlpm.tools&amp;" "&amp;_xlpm.apps))))*IF(_xlpm.cat="",1,ISNUMBER(SEARCH(_xlpm.cat,LOWER(_xlpm.cats))))*IF(_xlpm.lvl="",1,ISNUMBER(SEARCH(_xlpm.lvl,LOWER(_xlpm.levels))))*IF(_xlpm.stat="",1,ISNUMBER(SEARCH(_xlpm.stat,LOWER(_xlpm.status)))),_xlpm.result,_xlfn.HSTACK(_xlpm.scores,_xlpm.id,_xlpm.title,_xlpm.need,_xlpm.tools&amp;" / "&amp;_xlpm.apps,_xlpm.ptext,_xlpm.vars,_xlpm.source&amp;" / "&amp;_xlpm.status),IFERROR(_xlfn.SORTBY(_xlfn._xlws.FILTER(_xlpm.result,_xlpm.keep),_xlfn._xlws.FILTER(_xlpm.scores,_xlpm.keep),-1),"Aucun résultat : simplifiez la recherche ou retirez un filtre"))</f>
        <v>1</v>
      </c>
      <c r="B8" s="52" t="str">
        <v>P-001</v>
      </c>
      <c r="C8" s="47" t="str">
        <v>Analyser un classeur</v>
      </c>
      <c r="D8" s="36" t="str">
        <v>Analyser des données et identifier les enseignements clés</v>
      </c>
      <c r="E8" s="36" t="str">
        <v>Microsoft 365 Copilot / Excel</v>
      </c>
      <c r="F8" s="36" t="str">
        <v>Analyze this workbook and give me interesting data insights.</v>
      </c>
      <c r="G8" s="36" t="str">
        <v>[classeur]</v>
      </c>
      <c r="H8" s="36" t="str">
        <v>Microsoft Copilot Prompt Gallery / À tester</v>
      </c>
    </row>
    <row r="9" spans="1:8" ht="43.5" x14ac:dyDescent="0.35">
      <c r="A9" s="36">
        <v>1</v>
      </c>
      <c r="B9" s="52" t="str">
        <v>P-002</v>
      </c>
      <c r="C9" s="47" t="str">
        <v>Détecter tendances et anomalies</v>
      </c>
      <c r="D9" s="36" t="str">
        <v>Comprendre rapidement un fichier de données</v>
      </c>
      <c r="E9" s="36" t="str">
        <v>Microsoft 365 Copilot / Excel</v>
      </c>
      <c r="F9" s="36" t="str">
        <v>Analyze this file and describe any important trends, outliers, or anomalies. Suggest possible explanations and next steps.</v>
      </c>
      <c r="G9" s="36" t="str">
        <v>[fichier]</v>
      </c>
      <c r="H9" s="36" t="str">
        <v>Microsoft Copilot Prompt Gallery / À tester</v>
      </c>
    </row>
    <row r="10" spans="1:8" ht="43.5" x14ac:dyDescent="0.35">
      <c r="A10" s="36">
        <v>1</v>
      </c>
      <c r="B10" s="52" t="str">
        <v>P-003</v>
      </c>
      <c r="C10" s="47" t="str">
        <v>Créer un plan de ventes Excel</v>
      </c>
      <c r="D10" s="36" t="str">
        <v>Créer un classeur opérationnel structuré</v>
      </c>
      <c r="E10" s="36" t="str">
        <v>Microsoft 365 Copilot / Excel</v>
      </c>
      <c r="F10" s="36" t="str">
        <v>Create a workbook called "Q2 Sales Plan" with sheets for Pipeline, Actuals, Forecast, and Actions. Add clear headers and a summary view.</v>
      </c>
      <c r="G10" s="36" t="str">
        <v>[période] [structure]</v>
      </c>
      <c r="H10" s="36" t="str">
        <v>Microsoft Copilot Prompt Gallery / À tester</v>
      </c>
    </row>
    <row r="11" spans="1:8" ht="43.5" x14ac:dyDescent="0.35">
      <c r="A11" s="36">
        <v>1</v>
      </c>
      <c r="B11" s="52" t="str">
        <v>P-004</v>
      </c>
      <c r="C11" s="47" t="str">
        <v>Budget : variance et prévision</v>
      </c>
      <c r="D11" s="36" t="str">
        <v>Comparer réalisé et prévision</v>
      </c>
      <c r="E11" s="36" t="str">
        <v>Microsoft 365 Copilot / Excel</v>
      </c>
      <c r="F11" s="36" t="str">
        <v>Create this month’s budget variance and forecast update. Compare actuals to budget, highlight material variances, and summarize likely causes.</v>
      </c>
      <c r="G11" s="36" t="str">
        <v>[mois] [seuil de matérialité]</v>
      </c>
      <c r="H11" s="36" t="str">
        <v>Microsoft Copilot Prompt Gallery / À tester</v>
      </c>
    </row>
    <row r="12" spans="1:8" ht="43.5" x14ac:dyDescent="0.35">
      <c r="A12" s="36">
        <v>1</v>
      </c>
      <c r="B12" s="52" t="str">
        <v>P-005</v>
      </c>
      <c r="C12" s="47" t="str">
        <v>Tester une hypothèse financière</v>
      </c>
      <c r="D12" s="36" t="str">
        <v>Mesurer l'impact d'un changement d'hypothèse</v>
      </c>
      <c r="E12" s="36" t="str">
        <v>Microsoft 365 Copilot / Excel</v>
      </c>
      <c r="F12" s="36" t="str">
        <v>What is the impact of [change in assumption] on [financial metric]? Show the calculation, key sensitivities, and a concise interpretation.</v>
      </c>
      <c r="G12" s="36" t="str">
        <v>[hypothèse] [métrique]</v>
      </c>
      <c r="H12" s="36" t="str">
        <v>Microsoft Copilot Prompt Gallery / À tester</v>
      </c>
    </row>
    <row r="13" spans="1:8" ht="43.5" x14ac:dyDescent="0.35">
      <c r="A13" s="36">
        <v>1</v>
      </c>
      <c r="B13" s="52" t="str">
        <v>P-006</v>
      </c>
      <c r="C13" s="47" t="str">
        <v>Résumer les e-mails urgents</v>
      </c>
      <c r="D13" s="36" t="str">
        <v>Prioriser rapidement sa messagerie</v>
      </c>
      <c r="E13" s="36" t="str">
        <v>Microsoft 365 Copilot / Outlook</v>
      </c>
      <c r="F13" s="36" t="str">
        <v>Please summarize the emails I've received over the past two weeks and prioritize them based on urgency. Include sender, topic, requested action, and deadline.</v>
      </c>
      <c r="G13" s="36" t="str">
        <v>[période]</v>
      </c>
      <c r="H13" s="36" t="str">
        <v>Microsoft Copilot Prompt Gallery / À tester</v>
      </c>
    </row>
    <row r="14" spans="1:8" ht="43.5" x14ac:dyDescent="0.35">
      <c r="A14" s="36">
        <v>1</v>
      </c>
      <c r="B14" s="52" t="str">
        <v>P-007</v>
      </c>
      <c r="C14" s="47" t="str">
        <v>Identifier qui attend une réponse</v>
      </c>
      <c r="D14" s="36" t="str">
        <v>Repérer les demandes en attente</v>
      </c>
      <c r="E14" s="36" t="str">
        <v>Microsoft 365 Copilot / Outlook</v>
      </c>
      <c r="F14" s="36" t="str">
        <v>Find emails in the past 48 hours where someone is waiting on me. List the sender, request, urgency, and recommended next action.</v>
      </c>
      <c r="G14" s="36" t="str">
        <v>[période]</v>
      </c>
      <c r="H14" s="36" t="str">
        <v>Microsoft Copilot Prompt Gallery / À tester</v>
      </c>
    </row>
    <row r="15" spans="1:8" ht="43.5" x14ac:dyDescent="0.35">
      <c r="A15" s="36">
        <v>1</v>
      </c>
      <c r="B15" s="52" t="str">
        <v>P-008</v>
      </c>
      <c r="C15" s="47" t="str">
        <v>Organiser sa boîte de réception</v>
      </c>
      <c r="D15" s="36" t="str">
        <v>Trier les e-mails et décider des actions</v>
      </c>
      <c r="E15" s="36" t="str">
        <v>Microsoft 365 Copilot / Outlook</v>
      </c>
      <c r="F15" s="36" t="str">
        <v>You are my email analyst. Review all unread emails in my Outlook inbox and summarize each one in a structured table with urgency, action needed, owner, and due date.</v>
      </c>
      <c r="G15" s="36" t="str">
        <v>[règles de priorité]</v>
      </c>
      <c r="H15" s="36" t="str">
        <v>Microsoft Copilot Prompt Gallery / À tester</v>
      </c>
    </row>
    <row r="16" spans="1:8" ht="43.5" x14ac:dyDescent="0.35">
      <c r="A16" s="36">
        <v>1</v>
      </c>
      <c r="B16" s="52" t="str">
        <v>P-009</v>
      </c>
      <c r="C16" s="47" t="str">
        <v>Préparer une réunion client</v>
      </c>
      <c r="D16" s="36" t="str">
        <v>Arriver préparé avec le contexte utile</v>
      </c>
      <c r="E16" s="36" t="str">
        <v>Microsoft 365 Copilot / Outlook / Teams</v>
      </c>
      <c r="F16" s="36" t="str">
        <v>Prepare me for my upcoming customer meeting with [Customer name]. Pull together recent emails, meetings, files, open actions, risks, and suggested questions.</v>
      </c>
      <c r="G16" s="36" t="str">
        <v>[client]</v>
      </c>
      <c r="H16" s="36" t="str">
        <v>Microsoft Copilot Prompt Gallery / À tester</v>
      </c>
    </row>
    <row r="17" spans="1:8" ht="43.5" x14ac:dyDescent="0.35">
      <c r="A17" s="36">
        <v>1</v>
      </c>
      <c r="B17" s="52" t="str">
        <v>P-010</v>
      </c>
      <c r="C17" s="47" t="str">
        <v>Extraire les actions d'une réunion</v>
      </c>
      <c r="D17" s="36" t="str">
        <v>Transformer une réunion en plan d'action</v>
      </c>
      <c r="E17" s="36" t="str">
        <v>Microsoft 365 Copilot / Teams</v>
      </c>
      <c r="F17" s="36" t="str">
        <v>Identify and list all action items agreed upon during the meeting, including owner, due date, dependencies, and unresolved questions.</v>
      </c>
      <c r="G17" s="36" t="str">
        <v>[réunion]</v>
      </c>
      <c r="H17" s="36" t="str">
        <v>Microsoft Copilot Prompt Gallery / À tester</v>
      </c>
    </row>
    <row r="18" spans="1:8" ht="43.5" x14ac:dyDescent="0.35">
      <c r="A18" s="36">
        <v>1</v>
      </c>
      <c r="B18" s="52" t="str">
        <v>P-011</v>
      </c>
      <c r="C18" s="47" t="str">
        <v>Recenser les questions ouvertes</v>
      </c>
      <c r="D18" s="36" t="str">
        <v>Identifier ce qui reste à résoudre</v>
      </c>
      <c r="E18" s="36" t="str">
        <v>Microsoft 365 Copilot / Teams</v>
      </c>
      <c r="F18" s="36" t="str">
        <v>List all open questions raised during the meeting that have not yet been answered or resolved. Group them by topic and suggest an owner.</v>
      </c>
      <c r="G18" s="36" t="str">
        <v>[réunion]</v>
      </c>
      <c r="H18" s="36" t="str">
        <v>Microsoft Copilot Prompt Gallery / À tester</v>
      </c>
    </row>
    <row r="19" spans="1:8" ht="43.5" x14ac:dyDescent="0.35">
      <c r="A19" s="36">
        <v>1</v>
      </c>
      <c r="B19" s="52" t="str">
        <v>P-012</v>
      </c>
      <c r="C19" s="47" t="str">
        <v>Rédiger un point projet</v>
      </c>
      <c r="D19" s="36" t="str">
        <v>Synthétiser le statut d'une initiative</v>
      </c>
      <c r="E19" s="36" t="str">
        <v>Microsoft 365 Copilot / Copilot Chat / Teams</v>
      </c>
      <c r="F19" s="36" t="str">
        <v>Draft a project update based on emails, chats, and meetings in [project]. Include progress, decisions, risks, blockers, actions, and next milestones.</v>
      </c>
      <c r="G19" s="36" t="str">
        <v>[projet] [période]</v>
      </c>
      <c r="H19" s="36" t="str">
        <v>Microsoft Copilot Prompt Gallery / À tester</v>
      </c>
    </row>
    <row r="20" spans="1:8" ht="43.5" x14ac:dyDescent="0.35">
      <c r="A20" s="36">
        <v>1</v>
      </c>
      <c r="B20" s="52" t="str">
        <v>P-013</v>
      </c>
      <c r="C20" s="47" t="str">
        <v>Planifier un lancement produit</v>
      </c>
      <c r="D20" s="36" t="str">
        <v>Construire un plan de lancement actionnable</v>
      </c>
      <c r="E20" s="36" t="str">
        <v>Microsoft 365 Copilot / Copilot Chat</v>
      </c>
      <c r="F20" s="36" t="str">
        <v>Build a clear product launch plan for [Product name]. Compare it to [Competitors], define audiences, messages, channels, milestones, owners, risks, and success metrics.</v>
      </c>
      <c r="G20" s="36" t="str">
        <v>[produit] [concurrents]</v>
      </c>
      <c r="H20" s="36" t="str">
        <v>Microsoft Copilot Prompt Gallery / À tester</v>
      </c>
    </row>
    <row r="21" spans="1:8" ht="58" x14ac:dyDescent="0.35">
      <c r="A21" s="36">
        <v>1</v>
      </c>
      <c r="B21" s="52" t="str">
        <v>P-014</v>
      </c>
      <c r="C21" s="47" t="str">
        <v>Recherche approfondie</v>
      </c>
      <c r="D21" s="36" t="str">
        <v>Explorer un sujet avec sources et angles</v>
      </c>
      <c r="E21" s="36" t="str">
        <v>Microsoft 365 Copilot / Researcher / Copilot Chat</v>
      </c>
      <c r="F21" s="36" t="str">
        <v>I'm interested in conducting thorough research on [TOPIC]. Provide key questions, primary sources, competing viewpoints, evidence, uncertainties, and a concise executive summary.</v>
      </c>
      <c r="G21" s="36" t="str">
        <v>[sujet] [périmètre]</v>
      </c>
      <c r="H21" s="36" t="str">
        <v>Microsoft Copilot Prompt Gallery / À tester</v>
      </c>
    </row>
    <row r="22" spans="1:8" ht="58" x14ac:dyDescent="0.35">
      <c r="A22" s="36">
        <v>1</v>
      </c>
      <c r="B22" s="52" t="str">
        <v>P-015</v>
      </c>
      <c r="C22" s="47" t="str">
        <v>Analyser une entreprise</v>
      </c>
      <c r="D22" s="36" t="str">
        <v>Préparer une analyse d'entreprise structurée</v>
      </c>
      <c r="E22" s="36" t="str">
        <v>Microsoft 365 Copilot / Researcher / Copilot Chat</v>
      </c>
      <c r="F22" s="36" t="str">
        <v>Help me analyze a company. If I do not provide one, ask me which company. Cover business model, market, competitors, financial signals, risks, recent news, and sources.</v>
      </c>
      <c r="G22" s="36" t="str">
        <v>[entreprise]</v>
      </c>
      <c r="H22" s="36" t="str">
        <v>Microsoft Copilot Prompt Gallery / À tester</v>
      </c>
    </row>
    <row r="23" spans="1:8" ht="43.5" x14ac:dyDescent="0.35">
      <c r="A23" s="36">
        <v>1</v>
      </c>
      <c r="B23" s="52" t="str">
        <v>P-016</v>
      </c>
      <c r="C23" s="47" t="str">
        <v>Créer une présentation exécutive</v>
      </c>
      <c r="D23" s="36" t="str">
        <v>Transformer un document en présentation</v>
      </c>
      <c r="E23" s="36" t="str">
        <v>Microsoft 365 Copilot / PowerPoint</v>
      </c>
      <c r="F23" s="36" t="str">
        <v>Create a presentation from [file] summarizing the key requirements, decisions, risks, and recommended next steps for an executive audience.</v>
      </c>
      <c r="G23" s="36" t="str">
        <v>[fichier] [public]</v>
      </c>
      <c r="H23" s="36" t="str">
        <v>Microsoft Copilot Prompt Gallery / À tester</v>
      </c>
    </row>
    <row r="24" spans="1:8" ht="58" x14ac:dyDescent="0.35">
      <c r="A24" s="36">
        <v>1</v>
      </c>
      <c r="B24" s="52" t="str">
        <v>P-017</v>
      </c>
      <c r="C24" s="47" t="str">
        <v>Améliorer une présentation</v>
      </c>
      <c r="D24" s="36" t="str">
        <v>Contrôler cohérence et marque</v>
      </c>
      <c r="E24" s="36" t="str">
        <v>Microsoft 365 Copilot / PowerPoint</v>
      </c>
      <c r="F24" s="36" t="str">
        <v>Review my presentation for inconsistencies with [brand guidelines]. Identify issues in message, structure, terminology, visuals, and accessibility, then suggest precise edits.</v>
      </c>
      <c r="G24" s="36" t="str">
        <v>[charte]</v>
      </c>
      <c r="H24" s="36" t="str">
        <v>Microsoft Copilot Prompt Gallery / À tester</v>
      </c>
    </row>
    <row r="25" spans="1:8" ht="43.5" x14ac:dyDescent="0.35">
      <c r="A25" s="36">
        <v>1</v>
      </c>
      <c r="B25" s="52" t="str">
        <v>P-018</v>
      </c>
      <c r="C25" s="47" t="str">
        <v>Créer des idées de brainstorming</v>
      </c>
      <c r="D25" s="36" t="str">
        <v>Lancer une session d'idéation</v>
      </c>
      <c r="E25" s="36" t="str">
        <v>Microsoft 365 Copilot / Copilot Chat</v>
      </c>
      <c r="F25" s="36" t="str">
        <v>Generate a list of creative ideas for an ideation session about [theme]. Group ideas by ambition, feasibility, and expected impact, then propose three discussion questions.</v>
      </c>
      <c r="G25" s="36" t="str">
        <v>[thème]</v>
      </c>
      <c r="H25" s="36" t="str">
        <v>Microsoft Copilot Prompt Gallery / À tester</v>
      </c>
    </row>
    <row r="26" spans="1:8" ht="43.5" x14ac:dyDescent="0.35">
      <c r="A26" s="36">
        <v>1</v>
      </c>
      <c r="B26" s="52" t="str">
        <v>P-019</v>
      </c>
      <c r="C26" s="47" t="str">
        <v>Réécrire avec clarté</v>
      </c>
      <c r="D26" s="36" t="str">
        <v>Rendre un texte plus clair et concis</v>
      </c>
      <c r="E26" s="36" t="str">
        <v>Microsoft 365 Copilot / Word / Copilot Chat</v>
      </c>
      <c r="F26" s="36" t="str">
        <v>Can you help me rewrite this paragraph to make it clearer and more concise? Preserve the meaning, flag any ambiguity, and provide one polished version.</v>
      </c>
      <c r="G26" s="36" t="str">
        <v>[texte]</v>
      </c>
      <c r="H26" s="36" t="str">
        <v>Microsoft Copilot Prompt Gallery / À tester</v>
      </c>
    </row>
    <row r="27" spans="1:8" ht="43.5" x14ac:dyDescent="0.35">
      <c r="A27" s="36">
        <v>1</v>
      </c>
      <c r="B27" s="52" t="str">
        <v>P-020</v>
      </c>
      <c r="C27" s="47" t="str">
        <v>Résumer un document</v>
      </c>
      <c r="D27" s="36" t="str">
        <v>Extraire rapidement l'essentiel</v>
      </c>
      <c r="E27" s="36" t="str">
        <v>Microsoft 365 Copilot / Word / Copilot Chat</v>
      </c>
      <c r="F27" s="36" t="str">
        <v>Summarize this document in a bulleted list of key points. Separate facts, decisions, risks, actions, and unanswered questions.</v>
      </c>
      <c r="G27" s="36" t="str">
        <v>[document]</v>
      </c>
      <c r="H27" s="36" t="str">
        <v>Microsoft Copilot Prompt Gallery / À tester</v>
      </c>
    </row>
    <row r="28" spans="1:8" ht="43.5" x14ac:dyDescent="0.35">
      <c r="A28" s="36">
        <v>1</v>
      </c>
      <c r="B28" s="52" t="str">
        <v>P-021</v>
      </c>
      <c r="C28" s="47" t="str">
        <v>Répondre à un e-mail</v>
      </c>
      <c r="D28" s="36" t="str">
        <v>Rédiger une réponse précise et appropriée</v>
      </c>
      <c r="E28" s="36" t="str">
        <v>Microsoft 365 Copilot / Outlook</v>
      </c>
      <c r="F28" s="36" t="str">
        <v>Draft a reply that acknowledges the sender's main points and responds clearly. Use a [tone] tone, keep it under [length], and end with the next action.</v>
      </c>
      <c r="G28" s="36" t="str">
        <v>[ton] [longueur]</v>
      </c>
      <c r="H28" s="36" t="str">
        <v>Microsoft Copilot Prompt Gallery / À tester</v>
      </c>
    </row>
    <row r="29" spans="1:8" ht="43.5" x14ac:dyDescent="0.35">
      <c r="A29" s="36">
        <v>1</v>
      </c>
      <c r="B29" s="52" t="str">
        <v>P-022</v>
      </c>
      <c r="C29" s="47" t="str">
        <v>Préparer une passation d'absence</v>
      </c>
      <c r="D29" s="36" t="str">
        <v>Assurer la continuité pendant une absence</v>
      </c>
      <c r="E29" s="36" t="str">
        <v>Microsoft 365 Copilot / Outlook / Teams</v>
      </c>
      <c r="F29" s="36" t="str">
        <v>I'll be out of the office from [date] to [date]. Create a clear handover that lists active topics, status, owners, deadlines, risks, and escalation contacts.</v>
      </c>
      <c r="G29" s="36" t="str">
        <v>[dates] [contacts]</v>
      </c>
      <c r="H29" s="36" t="str">
        <v>Microsoft Copilot Prompt Gallery / À tester</v>
      </c>
    </row>
    <row r="30" spans="1:8" ht="43.5" x14ac:dyDescent="0.35">
      <c r="A30" s="36">
        <v>1</v>
      </c>
      <c r="B30" s="52" t="str">
        <v>P-023</v>
      </c>
      <c r="C30" s="47" t="str">
        <v>Comparer plusieurs fichiers</v>
      </c>
      <c r="D30" s="36" t="str">
        <v>Identifier les différences significatives</v>
      </c>
      <c r="E30" s="36" t="str">
        <v>Microsoft 365 Copilot / Copilot Chat / Word</v>
      </c>
      <c r="F30" s="36" t="str">
        <v>Compare these files grouped by differences in formatting, structure, and content. Highlight material changes, contradictions, omissions, and items requiring review.</v>
      </c>
      <c r="G30" s="36" t="str">
        <v>[fichiers]</v>
      </c>
      <c r="H30" s="36" t="str">
        <v>Microsoft Copilot Prompt Gallery / À tester</v>
      </c>
    </row>
    <row r="31" spans="1:8" ht="58" x14ac:dyDescent="0.35">
      <c r="A31" s="36">
        <v>1</v>
      </c>
      <c r="B31" s="52" t="str">
        <v>P-024</v>
      </c>
      <c r="C31" s="47" t="str">
        <v>Évaluer une solution IT</v>
      </c>
      <c r="D31" s="36" t="str">
        <v>Créer une analyse de décision structurée</v>
      </c>
      <c r="E31" s="36" t="str">
        <v>Microsoft 365 Copilot / Copilot Chat</v>
      </c>
      <c r="F31" s="36" t="str">
        <v>I am an IT Product Manager evaluating [solution]. Draft an evaluation covering business fit, architecture, integration, security, governance, cost, risks, alternatives, and recommendation.</v>
      </c>
      <c r="G31" s="36" t="str">
        <v>[solution] [contraintes]</v>
      </c>
      <c r="H31" s="36" t="str">
        <v>Microsoft Copilot Prompt Gallery / À tester</v>
      </c>
    </row>
    <row r="32" spans="1:8" ht="29" x14ac:dyDescent="0.35">
      <c r="A32" s="36">
        <v>1</v>
      </c>
      <c r="B32" s="52" t="str">
        <v>P-025</v>
      </c>
      <c r="C32" s="47" t="str">
        <v>Renforcer un premier brouillon avec Idea Coach</v>
      </c>
      <c r="D32" s="36" t="str">
        <v>Produire un premier brouillon de présentation plus abouti</v>
      </c>
      <c r="E32" s="36" t="str">
        <v>Microsoft 365 Copilot / Idea Coach / PowerPoint</v>
      </c>
      <c r="F32" s="36" t="str">
        <v>Utiliser Idea Coach pour produire un premier brouillon plus solide et qui necessite moins de révision par la suite.</v>
      </c>
      <c r="G32" s="36" t="str">
        <v>[présentation]</v>
      </c>
      <c r="H32" s="36" t="str">
        <v>Atlas IA — source interne / À tester</v>
      </c>
    </row>
    <row r="33" spans="1:8" ht="29" x14ac:dyDescent="0.35">
      <c r="A33" s="36">
        <v>1</v>
      </c>
      <c r="B33" s="52" t="str">
        <v>P-026</v>
      </c>
      <c r="C33" s="47" t="str">
        <v>Anticiper les questions d’un public exécutif</v>
      </c>
      <c r="D33" s="36" t="str">
        <v>Préparer les questions probables après une diapositive</v>
      </c>
      <c r="E33" s="36" t="str">
        <v>Microsoft 365 Copilot / PowerPoint</v>
      </c>
      <c r="F33" s="36" t="str">
        <v>Quelles sont les questions qu’un public exécutif est susceptible de poser après la diapositive 6 ?</v>
      </c>
      <c r="G33" s="36" t="str">
        <v>[diapositive] [public]</v>
      </c>
      <c r="H33" s="36" t="str">
        <v>Atlas IA — source interne / À tester</v>
      </c>
    </row>
    <row r="34" spans="1:8" ht="29" x14ac:dyDescent="0.35">
      <c r="A34" s="36">
        <v>1</v>
      </c>
      <c r="B34" s="52" t="str">
        <v>P-027</v>
      </c>
      <c r="C34" s="47" t="str">
        <v>Détecter un écart logique entre deux diapositives</v>
      </c>
      <c r="D34" s="36" t="str">
        <v>Renforcer la continuité narrative d’une présentation</v>
      </c>
      <c r="E34" s="36" t="str">
        <v>Microsoft 365 Copilot / PowerPoint</v>
      </c>
      <c r="F34" s="36" t="str">
        <v>Existe-t-il un écart logique entre les diapositives 4 et 5 ? Comment dois-je les relier ?</v>
      </c>
      <c r="G34" s="36" t="str">
        <v>[diapositives]</v>
      </c>
      <c r="H34" s="36" t="str">
        <v>Atlas IA — source interne / À tester</v>
      </c>
    </row>
    <row r="35" spans="1:8" ht="43.5" x14ac:dyDescent="0.35">
      <c r="A35" s="36">
        <v>1</v>
      </c>
      <c r="B35" s="52" t="str">
        <v>P-028</v>
      </c>
      <c r="C35" s="47" t="str">
        <v>Anticiper le pushback et renforcer les preuves</v>
      </c>
      <c r="D35" s="36" t="str">
        <v>Identifier une affirmation fragile et les données nécessaires</v>
      </c>
      <c r="E35" s="36" t="str">
        <v>Microsoft 365 Copilot / PowerPoint</v>
      </c>
      <c r="F35" s="36" t="str">
        <v>Quelle revendication de cette présentation est la plus susceptible de faire l’objet d’un pushback, et quelles données puis-je ajouter pour la prendre en charge ?</v>
      </c>
      <c r="G35" s="36" t="str">
        <v>[présentation] [données]</v>
      </c>
      <c r="H35" s="36" t="str">
        <v>Atlas IA — source interne / À tester</v>
      </c>
    </row>
    <row r="36" spans="1:8" ht="29" x14ac:dyDescent="0.35">
      <c r="A36" s="36">
        <v>1</v>
      </c>
      <c r="B36" s="52" t="str">
        <v>P-029</v>
      </c>
      <c r="C36" s="47" t="str">
        <v>Vérifier l’arc problème-solution-résultat</v>
      </c>
      <c r="D36" s="36" t="str">
        <v>Évaluer la structure narrative d’une présentation</v>
      </c>
      <c r="E36" s="36" t="str">
        <v>Microsoft 365 Copilot / PowerPoint</v>
      </c>
      <c r="F36" s="36" t="str">
        <v>Le flux narratif de ce jeu correspond-il à une structure problème-solution-résultat ?</v>
      </c>
      <c r="G36" s="36" t="str">
        <v>[présentation]</v>
      </c>
      <c r="H36" s="36" t="str">
        <v>Atlas IA — source interne / À tester</v>
      </c>
    </row>
    <row r="37" spans="1:8" ht="58" x14ac:dyDescent="0.35">
      <c r="A37" s="36">
        <v>1</v>
      </c>
      <c r="B37" s="52" t="str">
        <v>P-030</v>
      </c>
      <c r="C37" s="47" t="str">
        <v>Générer un visuel professionnel photoréaliste</v>
      </c>
      <c r="D37" s="36" t="str">
        <v>Créer une image de collaboration autour des données</v>
      </c>
      <c r="E37" s="36" t="str">
        <v>Microsoft 365 Copilot / PowerPoint / Designer</v>
      </c>
      <c r="F37" s="36" t="str">
        <v>Créez une image photoréaliste d’un groupe diversifié de professionnels qui examinent un tableau de bord de données dans un bureau ouvert moderne, à la lumière naturelle chaude et au ton optimiste.</v>
      </c>
      <c r="G37" s="36" t="str">
        <v>[sujet] [style] [ambiance]</v>
      </c>
      <c r="H37" s="36" t="str">
        <v>Atlas IA — source interne / À tester</v>
      </c>
    </row>
    <row r="38" spans="1:8" ht="29" x14ac:dyDescent="0.35">
      <c r="A38" s="36">
        <v>1</v>
      </c>
      <c r="B38" s="52" t="str">
        <v>P-031</v>
      </c>
      <c r="C38" s="47" t="str">
        <v>Résumer les modifications d’une présentation</v>
      </c>
      <c r="D38" s="36" t="str">
        <v>Obtenir une synthèse des changements apportés</v>
      </c>
      <c r="E38" s="36" t="str">
        <v>Microsoft 365 Copilot / PowerPoint</v>
      </c>
      <c r="F38" s="36" t="str">
        <v xml:space="preserve">Résumer les modifications ou un présentation </v>
      </c>
      <c r="G38" s="36" t="str">
        <v>[présentation]</v>
      </c>
      <c r="H38" s="36" t="str">
        <v>Atlas IA — source interne / À tester</v>
      </c>
    </row>
    <row r="39" spans="1:8" ht="29" x14ac:dyDescent="0.35">
      <c r="A39" s="36">
        <v>1</v>
      </c>
      <c r="B39" s="52" t="str">
        <v>P-032</v>
      </c>
      <c r="C39" s="47" t="str">
        <v>Générer des notes du présentateur concises</v>
      </c>
      <c r="D39" s="36" t="str">
        <v>Créer des notes à puces qui complètent les diapositives</v>
      </c>
      <c r="E39" s="36" t="str">
        <v>Microsoft 365 Copilot / PowerPoint</v>
      </c>
      <c r="F39" s="36" t="str">
        <v>Aucun résultat : simplifiez la recherche ou retirez un filtre</v>
      </c>
      <c r="G39" s="36" t="str">
        <v>[présentation] [public]</v>
      </c>
      <c r="H39" s="36" t="str">
        <v>Atlas IA — source interne / À tester</v>
      </c>
    </row>
    <row r="40" spans="1:8" ht="58" x14ac:dyDescent="0.35">
      <c r="A40" s="36">
        <v>1</v>
      </c>
      <c r="B40" s="52" t="str">
        <v>P-033</v>
      </c>
      <c r="C40" s="47" t="str">
        <v>Rendre les notes plus conversationnelles</v>
      </c>
      <c r="D40" s="36" t="str">
        <v>Adapter le ton des notes à une réunion interne</v>
      </c>
      <c r="E40" s="36" t="str">
        <v>Microsoft 365 Copilot / PowerPoint</v>
      </c>
      <c r="F40" s="36" t="str">
        <v>Réécrire les notes de l’orateur sur cette diapositive pour qu’elles semblent plus conversationnelles. Cette réunion est une mise à jour interne de la direction, et non une présentation officielle du conseil d’administration.</v>
      </c>
      <c r="G40" s="36" t="str">
        <v>[diapositive] [ton]</v>
      </c>
      <c r="H40" s="36" t="str">
        <v>Atlas IA — source interne / À tester</v>
      </c>
    </row>
    <row r="41" spans="1:8" ht="58" x14ac:dyDescent="0.35">
      <c r="A41" s="36">
        <v>1</v>
      </c>
      <c r="B41" s="52" t="str">
        <v>P-034</v>
      </c>
      <c r="C41" s="47" t="str">
        <v>Renforcer l’autorité des notes pour un directeur financier</v>
      </c>
      <c r="D41" s="36" t="str">
        <v>Projeter de la confiance lors d’une présentation financière</v>
      </c>
      <c r="E41" s="36" t="str">
        <v>Microsoft 365 Copilot / PowerPoint</v>
      </c>
      <c r="F41" s="36" t="str">
        <v>Faites en sorte que les notes de la diapositive 8 fassent autorité. Je présente des chiffres de retour sur investissement à un directeur financier et j’ai besoin de projeter la confiance.</v>
      </c>
      <c r="G41" s="36" t="str">
        <v>[diapositive] [public]</v>
      </c>
      <c r="H41" s="36" t="str">
        <v>Atlas IA — source interne / À tester</v>
      </c>
    </row>
    <row r="42" spans="1:8" ht="29" x14ac:dyDescent="0.35">
      <c r="A42" s="36">
        <v>1</v>
      </c>
      <c r="B42" s="52" t="str">
        <v>P-035</v>
      </c>
      <c r="C42" s="47" t="str">
        <v>Condenser les notes en trois puces</v>
      </c>
      <c r="D42" s="36" t="str">
        <v>Réduire les notes pour faciliter la prise de parole</v>
      </c>
      <c r="E42" s="36" t="str">
        <v>Microsoft 365 Copilot / PowerPoint</v>
      </c>
      <c r="F42" s="36" t="str">
        <v>Condensez les notes de la diapositive 3 à trois puces que je peux regarder tout en parlant.</v>
      </c>
      <c r="G42" s="36" t="str">
        <v>[diapositive] [longueur]</v>
      </c>
      <c r="H42" s="36" t="str">
        <v>Atlas IA — source interne / À tester</v>
      </c>
    </row>
    <row r="43" spans="1:8" ht="43.5" x14ac:dyDescent="0.35">
      <c r="A43" s="36">
        <v>1</v>
      </c>
      <c r="B43" s="52" t="str">
        <v>P-036</v>
      </c>
      <c r="C43" s="47" t="str">
        <v>Développer les notes avec le contexte APAC</v>
      </c>
      <c r="D43" s="36" t="str">
        <v>Ajouter du contexte pour répondre aux questions de suivi</v>
      </c>
      <c r="E43" s="36" t="str">
        <v>Microsoft 365 Copilot / PowerPoint</v>
      </c>
      <c r="F43" s="36" t="str">
        <v>Développez les notes de la diapositive 6. J’ai besoin de plus de contexte sur les données du marché de l’APAC afin de pouvoir répondre aux questions de suivi.</v>
      </c>
      <c r="G43" s="36" t="str">
        <v>[diapositive] [marché]</v>
      </c>
      <c r="H43" s="36" t="str">
        <v>Atlas IA — source interne / À tester</v>
      </c>
    </row>
    <row r="44" spans="1:8" ht="43.5" x14ac:dyDescent="0.35">
      <c r="A44" s="36">
        <v>1</v>
      </c>
      <c r="B44" s="52" t="str">
        <v>P-037</v>
      </c>
      <c r="C44" s="47" t="str">
        <v>Adapter les notes à un public technique</v>
      </c>
      <c r="D44" s="36" t="str">
        <v>Réécrire les notes pour des responsables techniques</v>
      </c>
      <c r="E44" s="36" t="str">
        <v>Microsoft 365 Copilot / PowerPoint</v>
      </c>
      <c r="F44" s="36" t="str">
        <v>Réécrire les notes de l’orateur sur la diapositive 5 comme si je fais une présentation à des responsables techniques qui posent des questions détaillées sur la mise en œuvre.</v>
      </c>
      <c r="G44" s="36" t="str">
        <v>[diapositive] [public]</v>
      </c>
      <c r="H44" s="36" t="str">
        <v>Atlas IA — source interne / À tester</v>
      </c>
    </row>
    <row r="45" spans="1:8" ht="43.5" x14ac:dyDescent="0.35">
      <c r="A45" s="36">
        <v>1</v>
      </c>
      <c r="B45" s="52" t="str">
        <v>P-038</v>
      </c>
      <c r="C45" s="47" t="str">
        <v>Simplifier les notes pour des non-anglophones</v>
      </c>
      <c r="D45" s="36" t="str">
        <v>Rendre les notes accessibles avec une formulation simple</v>
      </c>
      <c r="E45" s="36" t="str">
        <v>Microsoft 365 Copilot / PowerPoint</v>
      </c>
      <c r="F45" s="36" t="str">
        <v>Simplifiez la langue dans les notes de la diapositive 10. Mon public comprend des anglophones non natifs et je veux une formulation simple.</v>
      </c>
      <c r="G45" s="36" t="str">
        <v>[diapositive] [public]</v>
      </c>
      <c r="H45" s="36" t="str">
        <v>Atlas IA — source interne / À tester</v>
      </c>
    </row>
    <row r="46" spans="1:8" ht="43.5" x14ac:dyDescent="0.35">
      <c r="A46" s="36">
        <v>1</v>
      </c>
      <c r="B46" s="52" t="str">
        <v>P-039</v>
      </c>
      <c r="C46" s="47" t="str">
        <v>Ajouter une transition entre diapositives</v>
      </c>
      <c r="D46" s="36" t="str">
        <v>Relier naturellement deux parties de la présentation</v>
      </c>
      <c r="E46" s="36" t="str">
        <v>Microsoft 365 Copilot / PowerPoint</v>
      </c>
      <c r="F46" s="36" t="str">
        <v>Ajoutez une phrase de transition à la fin des notes de la diapositive 4 qui mène naturellement à la projection financière de la diapositive 5.</v>
      </c>
      <c r="G46" s="36" t="str">
        <v>[diapositives]</v>
      </c>
      <c r="H46" s="36" t="str">
        <v>Atlas IA — source interne / À tester</v>
      </c>
    </row>
    <row r="47" spans="1:8" ht="43.5" x14ac:dyDescent="0.35">
      <c r="A47" s="36">
        <v>1</v>
      </c>
      <c r="B47" s="52" t="str">
        <v>P-040</v>
      </c>
      <c r="C47" s="47" t="str">
        <v>Ajouter une pause et inviter aux questions</v>
      </c>
      <c r="D47" s="36" t="str">
        <v>Créer un moment d’interaction avec le public</v>
      </c>
      <c r="E47" s="36" t="str">
        <v>Microsoft 365 Copilot / PowerPoint</v>
      </c>
      <c r="F47" s="36" t="str">
        <v>Ajoutez un point de pause suggéré et une invite de questions dans les notes de la diapositive 7 pour inviter le public à réagir.</v>
      </c>
      <c r="G47" s="36" t="str">
        <v>[diapositive] [public]</v>
      </c>
      <c r="H47" s="36" t="str">
        <v>Atlas IA — source interne / À tester</v>
      </c>
    </row>
    <row r="48" spans="1:8" x14ac:dyDescent="0.35">
      <c r="A48" s="1"/>
      <c r="B48" s="1"/>
      <c r="C48" s="1"/>
      <c r="D48" s="1"/>
      <c r="E48" s="1"/>
      <c r="F48" s="1"/>
      <c r="G48" s="1"/>
      <c r="H48" s="1"/>
    </row>
    <row r="49" spans="1:8" x14ac:dyDescent="0.35">
      <c r="A49" s="1"/>
      <c r="B49" s="1"/>
      <c r="C49" s="1"/>
      <c r="D49" s="1"/>
      <c r="E49" s="1"/>
      <c r="F49" s="1"/>
      <c r="G49" s="1"/>
      <c r="H49" s="1"/>
    </row>
    <row r="50" spans="1:8" x14ac:dyDescent="0.35">
      <c r="A50" s="152" t="s">
        <v>2119</v>
      </c>
      <c r="B50" s="152"/>
      <c r="C50" s="152"/>
      <c r="D50" s="152"/>
      <c r="E50" s="152"/>
      <c r="F50" s="152"/>
      <c r="G50" s="152"/>
      <c r="H50" s="152"/>
    </row>
    <row r="51" spans="1:8" x14ac:dyDescent="0.35">
      <c r="A51" s="153" t="s">
        <v>2120</v>
      </c>
      <c r="B51" s="153"/>
      <c r="C51" s="153"/>
      <c r="D51" s="153"/>
      <c r="E51" s="153"/>
      <c r="F51" s="153"/>
      <c r="G51" s="153"/>
      <c r="H51" s="153"/>
    </row>
  </sheetData>
  <mergeCells count="6">
    <mergeCell ref="A50:H50"/>
    <mergeCell ref="A51:H51"/>
    <mergeCell ref="A1:H1"/>
    <mergeCell ref="A2:H2"/>
    <mergeCell ref="B4:H4"/>
    <mergeCell ref="A3:H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C63FD-035B-4E0C-9B6E-2D06698358C7}">
  <sheetPr>
    <tabColor rgb="FF6E4A7E"/>
  </sheetPr>
  <dimension ref="A1:AD44"/>
  <sheetViews>
    <sheetView showGridLines="0" workbookViewId="0">
      <pane ySplit="4" topLeftCell="A5" activePane="bottomLeft" state="frozen"/>
      <selection pane="bottomLeft" activeCell="A2" sqref="A2:U2"/>
    </sheetView>
  </sheetViews>
  <sheetFormatPr baseColWidth="10" defaultRowHeight="14.5" x14ac:dyDescent="0.35"/>
  <cols>
    <col min="1" max="1" width="5.90625" bestFit="1" customWidth="1"/>
    <col min="2" max="8" width="25.453125" customWidth="1"/>
    <col min="9" max="9" width="36.36328125" customWidth="1"/>
    <col min="10" max="10" width="25.453125" customWidth="1"/>
    <col min="11" max="12" width="36.36328125" customWidth="1"/>
    <col min="13" max="21" width="25.453125" customWidth="1"/>
  </cols>
  <sheetData>
    <row r="1" spans="1:30" ht="25" thickBot="1" x14ac:dyDescent="0.6">
      <c r="A1" s="158" t="s">
        <v>684</v>
      </c>
      <c r="B1" s="158"/>
      <c r="C1" s="158"/>
      <c r="D1" s="158"/>
      <c r="E1" s="158"/>
      <c r="F1" s="158"/>
      <c r="G1" s="158"/>
      <c r="H1" s="158"/>
      <c r="I1" s="158"/>
      <c r="J1" s="158"/>
      <c r="K1" s="158"/>
      <c r="L1" s="158"/>
      <c r="M1" s="158"/>
      <c r="N1" s="158"/>
      <c r="O1" s="158"/>
      <c r="P1" s="158"/>
      <c r="Q1" s="158"/>
      <c r="R1" s="158"/>
      <c r="S1" s="158"/>
      <c r="T1" s="158"/>
      <c r="U1" s="158"/>
    </row>
    <row r="2" spans="1:30" ht="15" thickTop="1" x14ac:dyDescent="0.35">
      <c r="A2" s="159" t="s">
        <v>685</v>
      </c>
      <c r="B2" s="159"/>
      <c r="C2" s="159"/>
      <c r="D2" s="159"/>
      <c r="E2" s="159"/>
      <c r="F2" s="159"/>
      <c r="G2" s="159"/>
      <c r="H2" s="159"/>
      <c r="I2" s="159"/>
      <c r="J2" s="159"/>
      <c r="K2" s="159"/>
      <c r="L2" s="159"/>
      <c r="M2" s="159"/>
      <c r="N2" s="159"/>
      <c r="O2" s="159"/>
      <c r="P2" s="159"/>
      <c r="Q2" s="159"/>
      <c r="R2" s="159"/>
      <c r="S2" s="159"/>
      <c r="T2" s="159"/>
      <c r="U2" s="159"/>
    </row>
    <row r="3" spans="1:30" x14ac:dyDescent="0.35">
      <c r="A3" s="58"/>
      <c r="B3" s="58"/>
      <c r="C3" s="58"/>
      <c r="D3" s="58"/>
      <c r="E3" s="58"/>
      <c r="F3" s="58"/>
      <c r="G3" s="58"/>
      <c r="H3" s="58"/>
      <c r="I3" s="58"/>
      <c r="J3" s="58"/>
      <c r="K3" s="58"/>
      <c r="L3" s="58"/>
      <c r="M3" s="58"/>
      <c r="N3" s="58"/>
      <c r="O3" s="58"/>
      <c r="P3" s="58"/>
      <c r="Q3" s="58"/>
      <c r="R3" s="58"/>
      <c r="S3" s="58"/>
      <c r="T3" s="58"/>
      <c r="U3" s="58"/>
    </row>
    <row r="4" spans="1:30" ht="58" x14ac:dyDescent="0.35">
      <c r="A4" s="65" t="s">
        <v>686</v>
      </c>
      <c r="B4" s="65" t="s">
        <v>439</v>
      </c>
      <c r="C4" s="65" t="s">
        <v>687</v>
      </c>
      <c r="D4" s="65" t="s">
        <v>90</v>
      </c>
      <c r="E4" s="65" t="s">
        <v>688</v>
      </c>
      <c r="F4" s="65" t="s">
        <v>97</v>
      </c>
      <c r="G4" s="65" t="s">
        <v>689</v>
      </c>
      <c r="H4" s="65" t="s">
        <v>690</v>
      </c>
      <c r="I4" s="65" t="s">
        <v>4</v>
      </c>
      <c r="J4" s="65" t="s">
        <v>691</v>
      </c>
      <c r="K4" s="65" t="s">
        <v>692</v>
      </c>
      <c r="L4" s="65" t="s">
        <v>693</v>
      </c>
      <c r="M4" s="65" t="s">
        <v>1068</v>
      </c>
      <c r="N4" s="65" t="s">
        <v>694</v>
      </c>
      <c r="O4" s="65" t="s">
        <v>695</v>
      </c>
      <c r="P4" s="65" t="s">
        <v>696</v>
      </c>
      <c r="Q4" s="65" t="s">
        <v>697</v>
      </c>
      <c r="R4" s="65" t="s">
        <v>698</v>
      </c>
      <c r="S4" s="65" t="s">
        <v>699</v>
      </c>
      <c r="T4" s="65" t="s">
        <v>700</v>
      </c>
      <c r="U4" s="65" t="s">
        <v>701</v>
      </c>
      <c r="V4" s="82" t="s">
        <v>1365</v>
      </c>
      <c r="W4" s="82" t="s">
        <v>1366</v>
      </c>
      <c r="X4" s="82" t="s">
        <v>1350</v>
      </c>
      <c r="Y4" s="82" t="s">
        <v>1367</v>
      </c>
      <c r="Z4" s="82" t="s">
        <v>1351</v>
      </c>
      <c r="AA4" s="82" t="s">
        <v>1368</v>
      </c>
      <c r="AB4" s="82" t="s">
        <v>1353</v>
      </c>
      <c r="AC4" s="82" t="s">
        <v>1392</v>
      </c>
      <c r="AD4" s="82" t="s">
        <v>1712</v>
      </c>
    </row>
    <row r="5" spans="1:30" ht="58" x14ac:dyDescent="0.35">
      <c r="A5" s="66" t="s">
        <v>702</v>
      </c>
      <c r="B5" s="67" t="s">
        <v>703</v>
      </c>
      <c r="C5" s="58" t="s">
        <v>704</v>
      </c>
      <c r="D5" s="58" t="s">
        <v>705</v>
      </c>
      <c r="E5" s="58" t="s">
        <v>706</v>
      </c>
      <c r="F5" s="58" t="s">
        <v>88</v>
      </c>
      <c r="G5" s="58" t="s">
        <v>106</v>
      </c>
      <c r="H5" s="58" t="s">
        <v>707</v>
      </c>
      <c r="I5" s="68" t="s">
        <v>708</v>
      </c>
      <c r="J5" s="58" t="s">
        <v>709</v>
      </c>
      <c r="K5" s="58" t="s">
        <v>710</v>
      </c>
      <c r="L5" s="58" t="s">
        <v>711</v>
      </c>
      <c r="M5" s="58" t="s">
        <v>1065</v>
      </c>
      <c r="N5" s="58" t="s">
        <v>712</v>
      </c>
      <c r="O5" s="58" t="s">
        <v>948</v>
      </c>
      <c r="P5" s="58" t="s">
        <v>713</v>
      </c>
      <c r="Q5" s="58" t="s">
        <v>84</v>
      </c>
      <c r="R5" s="58" t="s">
        <v>714</v>
      </c>
      <c r="S5" s="64">
        <v>46247</v>
      </c>
      <c r="T5" s="69" t="s">
        <v>715</v>
      </c>
      <c r="U5" s="58" t="s">
        <v>716</v>
      </c>
      <c r="V5" s="75" t="s">
        <v>1369</v>
      </c>
      <c r="W5" s="75" t="s">
        <v>1358</v>
      </c>
      <c r="X5" s="75" t="s">
        <v>1356</v>
      </c>
      <c r="Y5" s="75" t="s">
        <v>1381</v>
      </c>
      <c r="Z5" s="75" t="s">
        <v>372</v>
      </c>
      <c r="AA5" s="75" t="s">
        <v>715</v>
      </c>
      <c r="AB5" s="75"/>
      <c r="AC5" s="75"/>
      <c r="AD5" s="75" t="s">
        <v>1713</v>
      </c>
    </row>
    <row r="6" spans="1:30" ht="58" x14ac:dyDescent="0.35">
      <c r="A6" s="66" t="s">
        <v>717</v>
      </c>
      <c r="B6" s="67" t="s">
        <v>718</v>
      </c>
      <c r="C6" s="58" t="s">
        <v>719</v>
      </c>
      <c r="D6" s="58" t="s">
        <v>705</v>
      </c>
      <c r="E6" s="58" t="s">
        <v>99</v>
      </c>
      <c r="F6" s="58" t="s">
        <v>88</v>
      </c>
      <c r="G6" s="58" t="s">
        <v>106</v>
      </c>
      <c r="H6" s="58" t="s">
        <v>707</v>
      </c>
      <c r="I6" s="68" t="s">
        <v>720</v>
      </c>
      <c r="J6" s="58" t="s">
        <v>721</v>
      </c>
      <c r="K6" s="58" t="s">
        <v>722</v>
      </c>
      <c r="L6" s="58" t="s">
        <v>723</v>
      </c>
      <c r="M6" s="58" t="s">
        <v>1065</v>
      </c>
      <c r="N6" s="58" t="s">
        <v>724</v>
      </c>
      <c r="O6" s="58" t="s">
        <v>948</v>
      </c>
      <c r="P6" s="58" t="s">
        <v>713</v>
      </c>
      <c r="Q6" s="58" t="s">
        <v>84</v>
      </c>
      <c r="R6" s="58" t="s">
        <v>714</v>
      </c>
      <c r="S6" s="64">
        <v>46247</v>
      </c>
      <c r="T6" s="69" t="s">
        <v>715</v>
      </c>
      <c r="U6" s="58" t="s">
        <v>716</v>
      </c>
      <c r="V6" s="75" t="s">
        <v>1369</v>
      </c>
      <c r="W6" s="75" t="s">
        <v>1358</v>
      </c>
      <c r="X6" s="75" t="s">
        <v>1356</v>
      </c>
      <c r="Y6" s="75" t="s">
        <v>1381</v>
      </c>
      <c r="Z6" s="75" t="s">
        <v>372</v>
      </c>
      <c r="AA6" s="75" t="s">
        <v>715</v>
      </c>
      <c r="AB6" s="75"/>
      <c r="AC6" s="75"/>
      <c r="AD6" s="75" t="s">
        <v>1713</v>
      </c>
    </row>
    <row r="7" spans="1:30" ht="87" x14ac:dyDescent="0.35">
      <c r="A7" s="66" t="s">
        <v>725</v>
      </c>
      <c r="B7" s="67" t="s">
        <v>726</v>
      </c>
      <c r="C7" s="58" t="s">
        <v>727</v>
      </c>
      <c r="D7" s="58" t="s">
        <v>728</v>
      </c>
      <c r="E7" s="58" t="s">
        <v>729</v>
      </c>
      <c r="F7" s="58" t="s">
        <v>88</v>
      </c>
      <c r="G7" s="58" t="s">
        <v>106</v>
      </c>
      <c r="H7" s="58" t="s">
        <v>730</v>
      </c>
      <c r="I7" s="68" t="s">
        <v>731</v>
      </c>
      <c r="J7" s="58" t="s">
        <v>732</v>
      </c>
      <c r="K7" s="58" t="s">
        <v>733</v>
      </c>
      <c r="L7" s="58" t="s">
        <v>734</v>
      </c>
      <c r="M7" s="58" t="s">
        <v>1066</v>
      </c>
      <c r="N7" s="58" t="s">
        <v>735</v>
      </c>
      <c r="O7" s="58" t="s">
        <v>948</v>
      </c>
      <c r="P7" s="58" t="s">
        <v>713</v>
      </c>
      <c r="Q7" s="58" t="s">
        <v>84</v>
      </c>
      <c r="R7" s="58" t="s">
        <v>714</v>
      </c>
      <c r="S7" s="64">
        <v>46247</v>
      </c>
      <c r="T7" s="69" t="s">
        <v>715</v>
      </c>
      <c r="U7" s="58" t="s">
        <v>716</v>
      </c>
      <c r="V7" s="75" t="s">
        <v>1369</v>
      </c>
      <c r="W7" s="75" t="s">
        <v>1358</v>
      </c>
      <c r="X7" s="75" t="s">
        <v>1356</v>
      </c>
      <c r="Y7" s="75" t="s">
        <v>1382</v>
      </c>
      <c r="Z7" s="75" t="s">
        <v>380</v>
      </c>
      <c r="AA7" s="75" t="s">
        <v>715</v>
      </c>
      <c r="AB7" s="75"/>
      <c r="AC7" s="75"/>
      <c r="AD7" s="75" t="s">
        <v>1713</v>
      </c>
    </row>
    <row r="8" spans="1:30" ht="58" x14ac:dyDescent="0.35">
      <c r="A8" s="66" t="s">
        <v>736</v>
      </c>
      <c r="B8" s="67" t="s">
        <v>737</v>
      </c>
      <c r="C8" s="58" t="s">
        <v>738</v>
      </c>
      <c r="D8" s="58" t="s">
        <v>739</v>
      </c>
      <c r="E8" s="58" t="s">
        <v>740</v>
      </c>
      <c r="F8" s="58" t="s">
        <v>88</v>
      </c>
      <c r="G8" s="58" t="s">
        <v>106</v>
      </c>
      <c r="H8" s="58" t="s">
        <v>707</v>
      </c>
      <c r="I8" s="68" t="s">
        <v>741</v>
      </c>
      <c r="J8" s="58" t="s">
        <v>742</v>
      </c>
      <c r="K8" s="58" t="s">
        <v>743</v>
      </c>
      <c r="L8" s="58" t="s">
        <v>744</v>
      </c>
      <c r="M8" s="58" t="s">
        <v>1067</v>
      </c>
      <c r="N8" s="58" t="s">
        <v>745</v>
      </c>
      <c r="O8" s="58" t="s">
        <v>948</v>
      </c>
      <c r="P8" s="58" t="s">
        <v>713</v>
      </c>
      <c r="Q8" s="58" t="s">
        <v>84</v>
      </c>
      <c r="R8" s="58" t="s">
        <v>714</v>
      </c>
      <c r="S8" s="64">
        <v>46247</v>
      </c>
      <c r="T8" s="69" t="s">
        <v>715</v>
      </c>
      <c r="U8" s="58" t="s">
        <v>716</v>
      </c>
      <c r="V8" s="75" t="s">
        <v>1369</v>
      </c>
      <c r="W8" s="75" t="s">
        <v>1358</v>
      </c>
      <c r="X8" s="75" t="s">
        <v>1356</v>
      </c>
      <c r="Y8" s="75" t="s">
        <v>1381</v>
      </c>
      <c r="Z8" s="75" t="s">
        <v>1357</v>
      </c>
      <c r="AA8" s="75" t="s">
        <v>715</v>
      </c>
      <c r="AB8" s="75"/>
      <c r="AC8" s="75"/>
      <c r="AD8" s="75" t="s">
        <v>1713</v>
      </c>
    </row>
    <row r="9" spans="1:30" ht="58" x14ac:dyDescent="0.35">
      <c r="A9" s="66" t="s">
        <v>746</v>
      </c>
      <c r="B9" s="67" t="s">
        <v>747</v>
      </c>
      <c r="C9" s="58" t="s">
        <v>748</v>
      </c>
      <c r="D9" s="58" t="s">
        <v>739</v>
      </c>
      <c r="E9" s="58" t="s">
        <v>749</v>
      </c>
      <c r="F9" s="58" t="s">
        <v>88</v>
      </c>
      <c r="G9" s="58" t="s">
        <v>106</v>
      </c>
      <c r="H9" s="58" t="s">
        <v>750</v>
      </c>
      <c r="I9" s="68" t="s">
        <v>751</v>
      </c>
      <c r="J9" s="58" t="s">
        <v>752</v>
      </c>
      <c r="K9" s="58" t="s">
        <v>753</v>
      </c>
      <c r="L9" s="58" t="s">
        <v>754</v>
      </c>
      <c r="M9" s="58" t="s">
        <v>1067</v>
      </c>
      <c r="N9" s="58" t="s">
        <v>755</v>
      </c>
      <c r="O9" s="58" t="s">
        <v>948</v>
      </c>
      <c r="P9" s="58" t="s">
        <v>713</v>
      </c>
      <c r="Q9" s="58" t="s">
        <v>84</v>
      </c>
      <c r="R9" s="58" t="s">
        <v>714</v>
      </c>
      <c r="S9" s="64">
        <v>46247</v>
      </c>
      <c r="T9" s="69" t="s">
        <v>715</v>
      </c>
      <c r="U9" s="58" t="s">
        <v>716</v>
      </c>
      <c r="V9" s="75" t="s">
        <v>1369</v>
      </c>
      <c r="W9" s="75" t="s">
        <v>1358</v>
      </c>
      <c r="X9" s="75" t="s">
        <v>1356</v>
      </c>
      <c r="Y9" s="75" t="s">
        <v>1381</v>
      </c>
      <c r="Z9" s="75" t="s">
        <v>1357</v>
      </c>
      <c r="AA9" s="75" t="s">
        <v>715</v>
      </c>
      <c r="AB9" s="75"/>
      <c r="AC9" s="75"/>
      <c r="AD9" s="75" t="s">
        <v>1713</v>
      </c>
    </row>
    <row r="10" spans="1:30" ht="72.5" x14ac:dyDescent="0.35">
      <c r="A10" s="66" t="s">
        <v>756</v>
      </c>
      <c r="B10" s="67" t="s">
        <v>757</v>
      </c>
      <c r="C10" s="58" t="s">
        <v>758</v>
      </c>
      <c r="D10" s="58" t="s">
        <v>759</v>
      </c>
      <c r="E10" s="58" t="s">
        <v>760</v>
      </c>
      <c r="F10" s="58" t="s">
        <v>88</v>
      </c>
      <c r="G10" s="58" t="s">
        <v>761</v>
      </c>
      <c r="H10" s="58" t="s">
        <v>762</v>
      </c>
      <c r="I10" s="68" t="s">
        <v>763</v>
      </c>
      <c r="J10" s="58" t="s">
        <v>764</v>
      </c>
      <c r="K10" s="58" t="s">
        <v>765</v>
      </c>
      <c r="L10" s="58" t="s">
        <v>766</v>
      </c>
      <c r="M10" s="58" t="s">
        <v>1065</v>
      </c>
      <c r="N10" s="58" t="s">
        <v>767</v>
      </c>
      <c r="O10" s="58" t="s">
        <v>948</v>
      </c>
      <c r="P10" s="58" t="s">
        <v>713</v>
      </c>
      <c r="Q10" s="58" t="s">
        <v>84</v>
      </c>
      <c r="R10" s="58" t="s">
        <v>714</v>
      </c>
      <c r="S10" s="64">
        <v>46247</v>
      </c>
      <c r="T10" s="69" t="s">
        <v>715</v>
      </c>
      <c r="U10" s="58" t="s">
        <v>716</v>
      </c>
      <c r="V10" s="75" t="s">
        <v>1370</v>
      </c>
      <c r="W10" s="75" t="s">
        <v>1358</v>
      </c>
      <c r="X10" s="75" t="s">
        <v>1356</v>
      </c>
      <c r="Y10" s="75" t="s">
        <v>1383</v>
      </c>
      <c r="Z10" s="75" t="s">
        <v>372</v>
      </c>
      <c r="AA10" s="75" t="s">
        <v>715</v>
      </c>
      <c r="AB10" s="75"/>
      <c r="AC10" s="75"/>
      <c r="AD10" s="75" t="s">
        <v>1713</v>
      </c>
    </row>
    <row r="11" spans="1:30" ht="87" x14ac:dyDescent="0.35">
      <c r="A11" s="66" t="s">
        <v>768</v>
      </c>
      <c r="B11" s="67" t="s">
        <v>769</v>
      </c>
      <c r="C11" s="58" t="s">
        <v>770</v>
      </c>
      <c r="D11" s="58" t="s">
        <v>759</v>
      </c>
      <c r="E11" s="58" t="s">
        <v>760</v>
      </c>
      <c r="F11" s="58" t="s">
        <v>88</v>
      </c>
      <c r="G11" s="58" t="s">
        <v>761</v>
      </c>
      <c r="H11" s="58" t="s">
        <v>98</v>
      </c>
      <c r="I11" s="68" t="s">
        <v>771</v>
      </c>
      <c r="J11" s="58" t="s">
        <v>764</v>
      </c>
      <c r="K11" s="58" t="s">
        <v>765</v>
      </c>
      <c r="L11" s="58" t="s">
        <v>772</v>
      </c>
      <c r="M11" s="58" t="s">
        <v>1065</v>
      </c>
      <c r="N11" s="58" t="s">
        <v>773</v>
      </c>
      <c r="O11" s="58" t="s">
        <v>948</v>
      </c>
      <c r="P11" s="58" t="s">
        <v>713</v>
      </c>
      <c r="Q11" s="58" t="s">
        <v>84</v>
      </c>
      <c r="R11" s="58" t="s">
        <v>714</v>
      </c>
      <c r="S11" s="64">
        <v>46247</v>
      </c>
      <c r="T11" s="69" t="s">
        <v>715</v>
      </c>
      <c r="U11" s="58" t="s">
        <v>716</v>
      </c>
      <c r="V11" s="75" t="s">
        <v>1370</v>
      </c>
      <c r="W11" s="75" t="s">
        <v>1358</v>
      </c>
      <c r="X11" s="75" t="s">
        <v>1356</v>
      </c>
      <c r="Y11" s="75" t="s">
        <v>1384</v>
      </c>
      <c r="Z11" s="75" t="s">
        <v>372</v>
      </c>
      <c r="AA11" s="75" t="s">
        <v>715</v>
      </c>
      <c r="AB11" s="75"/>
      <c r="AC11" s="75"/>
      <c r="AD11" s="75" t="s">
        <v>1713</v>
      </c>
    </row>
    <row r="12" spans="1:30" ht="87" x14ac:dyDescent="0.35">
      <c r="A12" s="66" t="s">
        <v>774</v>
      </c>
      <c r="B12" s="67" t="s">
        <v>775</v>
      </c>
      <c r="C12" s="58" t="s">
        <v>776</v>
      </c>
      <c r="D12" s="58" t="s">
        <v>759</v>
      </c>
      <c r="E12" s="58" t="s">
        <v>760</v>
      </c>
      <c r="F12" s="58" t="s">
        <v>88</v>
      </c>
      <c r="G12" s="58" t="s">
        <v>761</v>
      </c>
      <c r="H12" s="58" t="s">
        <v>777</v>
      </c>
      <c r="I12" s="68" t="s">
        <v>778</v>
      </c>
      <c r="J12" s="58" t="s">
        <v>779</v>
      </c>
      <c r="K12" s="58" t="s">
        <v>765</v>
      </c>
      <c r="L12" s="58" t="s">
        <v>780</v>
      </c>
      <c r="M12" s="58" t="s">
        <v>1066</v>
      </c>
      <c r="N12" s="58" t="s">
        <v>781</v>
      </c>
      <c r="O12" s="58" t="s">
        <v>948</v>
      </c>
      <c r="P12" s="58" t="s">
        <v>713</v>
      </c>
      <c r="Q12" s="58" t="s">
        <v>84</v>
      </c>
      <c r="R12" s="58" t="s">
        <v>714</v>
      </c>
      <c r="S12" s="64">
        <v>46247</v>
      </c>
      <c r="T12" s="69" t="s">
        <v>715</v>
      </c>
      <c r="U12" s="58" t="s">
        <v>716</v>
      </c>
      <c r="V12" s="75" t="s">
        <v>1370</v>
      </c>
      <c r="W12" s="75" t="s">
        <v>1358</v>
      </c>
      <c r="X12" s="75" t="s">
        <v>1356</v>
      </c>
      <c r="Y12" s="75" t="s">
        <v>1385</v>
      </c>
      <c r="Z12" s="75" t="s">
        <v>380</v>
      </c>
      <c r="AA12" s="75" t="s">
        <v>715</v>
      </c>
      <c r="AB12" s="75"/>
      <c r="AC12" s="75"/>
      <c r="AD12" s="75" t="s">
        <v>1713</v>
      </c>
    </row>
    <row r="13" spans="1:30" ht="87" x14ac:dyDescent="0.35">
      <c r="A13" s="66" t="s">
        <v>782</v>
      </c>
      <c r="B13" s="67" t="s">
        <v>783</v>
      </c>
      <c r="C13" s="58" t="s">
        <v>784</v>
      </c>
      <c r="D13" s="58" t="s">
        <v>785</v>
      </c>
      <c r="E13" s="58" t="s">
        <v>786</v>
      </c>
      <c r="F13" s="58" t="s">
        <v>88</v>
      </c>
      <c r="G13" s="58" t="s">
        <v>787</v>
      </c>
      <c r="H13" s="58" t="s">
        <v>788</v>
      </c>
      <c r="I13" s="68" t="s">
        <v>789</v>
      </c>
      <c r="J13" s="58" t="s">
        <v>790</v>
      </c>
      <c r="K13" s="58" t="s">
        <v>791</v>
      </c>
      <c r="L13" s="58" t="s">
        <v>792</v>
      </c>
      <c r="M13" s="58" t="s">
        <v>1066</v>
      </c>
      <c r="N13" s="58" t="s">
        <v>793</v>
      </c>
      <c r="O13" s="58" t="s">
        <v>948</v>
      </c>
      <c r="P13" s="58" t="s">
        <v>713</v>
      </c>
      <c r="Q13" s="58" t="s">
        <v>84</v>
      </c>
      <c r="R13" s="58" t="s">
        <v>714</v>
      </c>
      <c r="S13" s="64">
        <v>46247</v>
      </c>
      <c r="T13" s="69" t="s">
        <v>715</v>
      </c>
      <c r="U13" s="58" t="s">
        <v>716</v>
      </c>
      <c r="V13" s="75" t="s">
        <v>1371</v>
      </c>
      <c r="W13" s="75" t="s">
        <v>1358</v>
      </c>
      <c r="X13" s="75" t="s">
        <v>1356</v>
      </c>
      <c r="Y13" s="75" t="s">
        <v>1384</v>
      </c>
      <c r="Z13" s="75" t="s">
        <v>380</v>
      </c>
      <c r="AA13" s="75" t="s">
        <v>715</v>
      </c>
      <c r="AB13" s="75"/>
      <c r="AC13" s="75"/>
      <c r="AD13" s="75" t="s">
        <v>1713</v>
      </c>
    </row>
    <row r="14" spans="1:30" ht="87" x14ac:dyDescent="0.35">
      <c r="A14" s="66" t="s">
        <v>794</v>
      </c>
      <c r="B14" s="67" t="s">
        <v>795</v>
      </c>
      <c r="C14" s="58" t="s">
        <v>796</v>
      </c>
      <c r="D14" s="58" t="s">
        <v>785</v>
      </c>
      <c r="E14" s="58" t="s">
        <v>760</v>
      </c>
      <c r="F14" s="58" t="s">
        <v>88</v>
      </c>
      <c r="G14" s="58" t="s">
        <v>92</v>
      </c>
      <c r="H14" s="58" t="s">
        <v>797</v>
      </c>
      <c r="I14" s="68" t="s">
        <v>798</v>
      </c>
      <c r="J14" s="58" t="s">
        <v>799</v>
      </c>
      <c r="K14" s="58" t="s">
        <v>800</v>
      </c>
      <c r="L14" s="58" t="s">
        <v>801</v>
      </c>
      <c r="M14" s="58" t="s">
        <v>1065</v>
      </c>
      <c r="N14" s="58" t="s">
        <v>802</v>
      </c>
      <c r="O14" s="58" t="s">
        <v>948</v>
      </c>
      <c r="P14" s="58" t="s">
        <v>713</v>
      </c>
      <c r="Q14" s="58" t="s">
        <v>84</v>
      </c>
      <c r="R14" s="58" t="s">
        <v>714</v>
      </c>
      <c r="S14" s="64">
        <v>46247</v>
      </c>
      <c r="T14" s="69" t="s">
        <v>715</v>
      </c>
      <c r="U14" s="58" t="s">
        <v>716</v>
      </c>
      <c r="V14" s="75" t="s">
        <v>1372</v>
      </c>
      <c r="W14" s="75" t="s">
        <v>1358</v>
      </c>
      <c r="X14" s="75" t="s">
        <v>1356</v>
      </c>
      <c r="Y14" s="75" t="s">
        <v>1385</v>
      </c>
      <c r="Z14" s="75" t="s">
        <v>372</v>
      </c>
      <c r="AA14" s="75" t="s">
        <v>715</v>
      </c>
      <c r="AB14" s="75"/>
      <c r="AC14" s="75"/>
      <c r="AD14" s="75" t="s">
        <v>1713</v>
      </c>
    </row>
    <row r="15" spans="1:30" ht="87" x14ac:dyDescent="0.35">
      <c r="A15" s="66" t="s">
        <v>803</v>
      </c>
      <c r="B15" s="67" t="s">
        <v>804</v>
      </c>
      <c r="C15" s="58" t="s">
        <v>805</v>
      </c>
      <c r="D15" s="58" t="s">
        <v>785</v>
      </c>
      <c r="E15" s="58" t="s">
        <v>760</v>
      </c>
      <c r="F15" s="58" t="s">
        <v>88</v>
      </c>
      <c r="G15" s="58" t="s">
        <v>92</v>
      </c>
      <c r="H15" s="58" t="s">
        <v>797</v>
      </c>
      <c r="I15" s="68" t="s">
        <v>806</v>
      </c>
      <c r="J15" s="58" t="s">
        <v>799</v>
      </c>
      <c r="K15" s="58" t="s">
        <v>800</v>
      </c>
      <c r="L15" s="58" t="s">
        <v>807</v>
      </c>
      <c r="M15" s="58" t="s">
        <v>1065</v>
      </c>
      <c r="N15" s="58" t="s">
        <v>808</v>
      </c>
      <c r="O15" s="58" t="s">
        <v>948</v>
      </c>
      <c r="P15" s="58" t="s">
        <v>713</v>
      </c>
      <c r="Q15" s="58" t="s">
        <v>84</v>
      </c>
      <c r="R15" s="58" t="s">
        <v>714</v>
      </c>
      <c r="S15" s="64">
        <v>46247</v>
      </c>
      <c r="T15" s="69" t="s">
        <v>715</v>
      </c>
      <c r="U15" s="58" t="s">
        <v>716</v>
      </c>
      <c r="V15" s="75" t="s">
        <v>1372</v>
      </c>
      <c r="W15" s="75" t="s">
        <v>1358</v>
      </c>
      <c r="X15" s="75" t="s">
        <v>1356</v>
      </c>
      <c r="Y15" s="75" t="s">
        <v>1385</v>
      </c>
      <c r="Z15" s="75" t="s">
        <v>372</v>
      </c>
      <c r="AA15" s="75" t="s">
        <v>715</v>
      </c>
      <c r="AB15" s="75"/>
      <c r="AC15" s="75"/>
      <c r="AD15" s="75" t="s">
        <v>1713</v>
      </c>
    </row>
    <row r="16" spans="1:30" ht="87" x14ac:dyDescent="0.35">
      <c r="A16" s="66" t="s">
        <v>809</v>
      </c>
      <c r="B16" s="67" t="s">
        <v>810</v>
      </c>
      <c r="C16" s="58" t="s">
        <v>811</v>
      </c>
      <c r="D16" s="58" t="s">
        <v>812</v>
      </c>
      <c r="E16" s="58" t="s">
        <v>813</v>
      </c>
      <c r="F16" s="58" t="s">
        <v>88</v>
      </c>
      <c r="G16" s="58" t="s">
        <v>814</v>
      </c>
      <c r="H16" s="58" t="s">
        <v>762</v>
      </c>
      <c r="I16" s="68" t="s">
        <v>815</v>
      </c>
      <c r="J16" s="58" t="s">
        <v>816</v>
      </c>
      <c r="K16" s="58" t="s">
        <v>817</v>
      </c>
      <c r="L16" s="58" t="s">
        <v>818</v>
      </c>
      <c r="M16" s="58" t="s">
        <v>1066</v>
      </c>
      <c r="N16" s="58" t="s">
        <v>819</v>
      </c>
      <c r="O16" s="58" t="s">
        <v>948</v>
      </c>
      <c r="P16" s="58" t="s">
        <v>713</v>
      </c>
      <c r="Q16" s="58" t="s">
        <v>84</v>
      </c>
      <c r="R16" s="58" t="s">
        <v>714</v>
      </c>
      <c r="S16" s="64">
        <v>46247</v>
      </c>
      <c r="T16" s="69" t="s">
        <v>715</v>
      </c>
      <c r="U16" s="58" t="s">
        <v>716</v>
      </c>
      <c r="V16" s="75" t="s">
        <v>1373</v>
      </c>
      <c r="W16" s="75" t="s">
        <v>1358</v>
      </c>
      <c r="X16" s="75" t="s">
        <v>1356</v>
      </c>
      <c r="Y16" s="75" t="s">
        <v>1383</v>
      </c>
      <c r="Z16" s="75" t="s">
        <v>380</v>
      </c>
      <c r="AA16" s="75" t="s">
        <v>715</v>
      </c>
      <c r="AB16" s="75"/>
      <c r="AC16" s="75"/>
      <c r="AD16" s="75" t="s">
        <v>1713</v>
      </c>
    </row>
    <row r="17" spans="1:30" ht="72.5" x14ac:dyDescent="0.35">
      <c r="A17" s="66" t="s">
        <v>820</v>
      </c>
      <c r="B17" s="67" t="s">
        <v>821</v>
      </c>
      <c r="C17" s="58" t="s">
        <v>822</v>
      </c>
      <c r="D17" s="58" t="s">
        <v>74</v>
      </c>
      <c r="E17" s="58" t="s">
        <v>823</v>
      </c>
      <c r="F17" s="58" t="s">
        <v>88</v>
      </c>
      <c r="G17" s="58" t="s">
        <v>85</v>
      </c>
      <c r="H17" s="58" t="s">
        <v>824</v>
      </c>
      <c r="I17" s="68" t="s">
        <v>825</v>
      </c>
      <c r="J17" s="58" t="s">
        <v>826</v>
      </c>
      <c r="K17" s="58" t="s">
        <v>827</v>
      </c>
      <c r="L17" s="58" t="s">
        <v>828</v>
      </c>
      <c r="M17" s="58" t="s">
        <v>1067</v>
      </c>
      <c r="N17" s="58" t="s">
        <v>829</v>
      </c>
      <c r="O17" s="58" t="s">
        <v>948</v>
      </c>
      <c r="P17" s="58" t="s">
        <v>713</v>
      </c>
      <c r="Q17" s="58" t="s">
        <v>84</v>
      </c>
      <c r="R17" s="58" t="s">
        <v>714</v>
      </c>
      <c r="S17" s="64">
        <v>46247</v>
      </c>
      <c r="T17" s="69" t="s">
        <v>715</v>
      </c>
      <c r="U17" s="58" t="s">
        <v>716</v>
      </c>
      <c r="V17" s="75" t="s">
        <v>1374</v>
      </c>
      <c r="W17" s="75" t="s">
        <v>1358</v>
      </c>
      <c r="X17" s="75" t="s">
        <v>1356</v>
      </c>
      <c r="Y17" s="75" t="s">
        <v>1386</v>
      </c>
      <c r="Z17" s="75" t="s">
        <v>1357</v>
      </c>
      <c r="AA17" s="75" t="s">
        <v>715</v>
      </c>
      <c r="AB17" s="75"/>
      <c r="AC17" s="75"/>
      <c r="AD17" s="75" t="s">
        <v>1713</v>
      </c>
    </row>
    <row r="18" spans="1:30" ht="87" x14ac:dyDescent="0.35">
      <c r="A18" s="66" t="s">
        <v>830</v>
      </c>
      <c r="B18" s="67" t="s">
        <v>831</v>
      </c>
      <c r="C18" s="58" t="s">
        <v>832</v>
      </c>
      <c r="D18" s="58" t="s">
        <v>98</v>
      </c>
      <c r="E18" s="58" t="s">
        <v>760</v>
      </c>
      <c r="F18" s="58" t="s">
        <v>88</v>
      </c>
      <c r="G18" s="58" t="s">
        <v>833</v>
      </c>
      <c r="H18" s="58" t="s">
        <v>98</v>
      </c>
      <c r="I18" s="68" t="s">
        <v>834</v>
      </c>
      <c r="J18" s="58" t="s">
        <v>835</v>
      </c>
      <c r="K18" s="58" t="s">
        <v>836</v>
      </c>
      <c r="L18" s="58" t="s">
        <v>837</v>
      </c>
      <c r="M18" s="58" t="s">
        <v>1067</v>
      </c>
      <c r="N18" s="58" t="s">
        <v>838</v>
      </c>
      <c r="O18" s="58" t="s">
        <v>948</v>
      </c>
      <c r="P18" s="58" t="s">
        <v>713</v>
      </c>
      <c r="Q18" s="58" t="s">
        <v>84</v>
      </c>
      <c r="R18" s="58" t="s">
        <v>714</v>
      </c>
      <c r="S18" s="64">
        <v>46247</v>
      </c>
      <c r="T18" s="69" t="s">
        <v>715</v>
      </c>
      <c r="U18" s="58" t="s">
        <v>716</v>
      </c>
      <c r="V18" s="75" t="s">
        <v>1375</v>
      </c>
      <c r="W18" s="75" t="s">
        <v>1358</v>
      </c>
      <c r="X18" s="75" t="s">
        <v>1356</v>
      </c>
      <c r="Y18" s="75" t="s">
        <v>1384</v>
      </c>
      <c r="Z18" s="75" t="s">
        <v>1357</v>
      </c>
      <c r="AA18" s="75" t="s">
        <v>715</v>
      </c>
      <c r="AB18" s="75"/>
      <c r="AC18" s="75"/>
      <c r="AD18" s="75" t="s">
        <v>1713</v>
      </c>
    </row>
    <row r="19" spans="1:30" ht="87" x14ac:dyDescent="0.35">
      <c r="A19" s="66" t="s">
        <v>839</v>
      </c>
      <c r="B19" s="67" t="s">
        <v>840</v>
      </c>
      <c r="C19" s="58" t="s">
        <v>841</v>
      </c>
      <c r="D19" s="58" t="s">
        <v>98</v>
      </c>
      <c r="E19" s="58" t="s">
        <v>842</v>
      </c>
      <c r="F19" s="58" t="s">
        <v>88</v>
      </c>
      <c r="G19" s="58" t="s">
        <v>833</v>
      </c>
      <c r="H19" s="58" t="s">
        <v>707</v>
      </c>
      <c r="I19" s="68" t="s">
        <v>843</v>
      </c>
      <c r="J19" s="58" t="s">
        <v>844</v>
      </c>
      <c r="K19" s="58" t="s">
        <v>845</v>
      </c>
      <c r="L19" s="58" t="s">
        <v>846</v>
      </c>
      <c r="M19" s="58" t="s">
        <v>1067</v>
      </c>
      <c r="N19" s="58" t="s">
        <v>847</v>
      </c>
      <c r="O19" s="58" t="s">
        <v>948</v>
      </c>
      <c r="P19" s="58" t="s">
        <v>713</v>
      </c>
      <c r="Q19" s="58" t="s">
        <v>84</v>
      </c>
      <c r="R19" s="58" t="s">
        <v>714</v>
      </c>
      <c r="S19" s="64">
        <v>46247</v>
      </c>
      <c r="T19" s="69" t="s">
        <v>715</v>
      </c>
      <c r="U19" s="58" t="s">
        <v>716</v>
      </c>
      <c r="V19" s="75" t="s">
        <v>1375</v>
      </c>
      <c r="W19" s="75" t="s">
        <v>1358</v>
      </c>
      <c r="X19" s="75" t="s">
        <v>1356</v>
      </c>
      <c r="Y19" s="75" t="s">
        <v>1387</v>
      </c>
      <c r="Z19" s="75" t="s">
        <v>1357</v>
      </c>
      <c r="AA19" s="75" t="s">
        <v>715</v>
      </c>
      <c r="AB19" s="75"/>
      <c r="AC19" s="75"/>
      <c r="AD19" s="75" t="s">
        <v>1713</v>
      </c>
    </row>
    <row r="20" spans="1:30" ht="87" x14ac:dyDescent="0.35">
      <c r="A20" s="66" t="s">
        <v>848</v>
      </c>
      <c r="B20" s="67" t="s">
        <v>849</v>
      </c>
      <c r="C20" s="58" t="s">
        <v>850</v>
      </c>
      <c r="D20" s="58" t="s">
        <v>851</v>
      </c>
      <c r="E20" s="58" t="s">
        <v>852</v>
      </c>
      <c r="F20" s="58" t="s">
        <v>88</v>
      </c>
      <c r="G20" s="58" t="s">
        <v>102</v>
      </c>
      <c r="H20" s="58" t="s">
        <v>730</v>
      </c>
      <c r="I20" s="68" t="s">
        <v>853</v>
      </c>
      <c r="J20" s="58" t="s">
        <v>854</v>
      </c>
      <c r="K20" s="58" t="s">
        <v>855</v>
      </c>
      <c r="L20" s="58" t="s">
        <v>856</v>
      </c>
      <c r="M20" s="58" t="s">
        <v>1066</v>
      </c>
      <c r="N20" s="58" t="s">
        <v>857</v>
      </c>
      <c r="O20" s="58" t="s">
        <v>948</v>
      </c>
      <c r="P20" s="58" t="s">
        <v>713</v>
      </c>
      <c r="Q20" s="58" t="s">
        <v>84</v>
      </c>
      <c r="R20" s="58" t="s">
        <v>714</v>
      </c>
      <c r="S20" s="64">
        <v>46247</v>
      </c>
      <c r="T20" s="69" t="s">
        <v>715</v>
      </c>
      <c r="U20" s="58" t="s">
        <v>716</v>
      </c>
      <c r="V20" s="75" t="s">
        <v>1376</v>
      </c>
      <c r="W20" s="75" t="s">
        <v>1358</v>
      </c>
      <c r="X20" s="75" t="s">
        <v>1356</v>
      </c>
      <c r="Y20" s="75" t="s">
        <v>1382</v>
      </c>
      <c r="Z20" s="75" t="s">
        <v>380</v>
      </c>
      <c r="AA20" s="75" t="s">
        <v>715</v>
      </c>
      <c r="AB20" s="75"/>
      <c r="AC20" s="75"/>
      <c r="AD20" s="75" t="s">
        <v>1713</v>
      </c>
    </row>
    <row r="21" spans="1:30" ht="72.5" x14ac:dyDescent="0.35">
      <c r="A21" s="66" t="s">
        <v>858</v>
      </c>
      <c r="B21" s="67" t="s">
        <v>859</v>
      </c>
      <c r="C21" s="58" t="s">
        <v>860</v>
      </c>
      <c r="D21" s="58" t="s">
        <v>851</v>
      </c>
      <c r="E21" s="58" t="s">
        <v>861</v>
      </c>
      <c r="F21" s="58" t="s">
        <v>88</v>
      </c>
      <c r="G21" s="58" t="s">
        <v>102</v>
      </c>
      <c r="H21" s="58" t="s">
        <v>862</v>
      </c>
      <c r="I21" s="68" t="s">
        <v>863</v>
      </c>
      <c r="J21" s="58" t="s">
        <v>864</v>
      </c>
      <c r="K21" s="58" t="s">
        <v>865</v>
      </c>
      <c r="L21" s="58" t="s">
        <v>866</v>
      </c>
      <c r="M21" s="58" t="s">
        <v>1067</v>
      </c>
      <c r="N21" s="58" t="s">
        <v>867</v>
      </c>
      <c r="O21" s="58" t="s">
        <v>948</v>
      </c>
      <c r="P21" s="58" t="s">
        <v>713</v>
      </c>
      <c r="Q21" s="58" t="s">
        <v>84</v>
      </c>
      <c r="R21" s="58" t="s">
        <v>714</v>
      </c>
      <c r="S21" s="64">
        <v>46247</v>
      </c>
      <c r="T21" s="69" t="s">
        <v>715</v>
      </c>
      <c r="U21" s="58" t="s">
        <v>716</v>
      </c>
      <c r="V21" s="75" t="s">
        <v>1376</v>
      </c>
      <c r="W21" s="75" t="s">
        <v>1358</v>
      </c>
      <c r="X21" s="75" t="s">
        <v>1356</v>
      </c>
      <c r="Y21" s="75" t="s">
        <v>1387</v>
      </c>
      <c r="Z21" s="75" t="s">
        <v>1357</v>
      </c>
      <c r="AA21" s="75" t="s">
        <v>715</v>
      </c>
      <c r="AB21" s="75"/>
      <c r="AC21" s="75"/>
      <c r="AD21" s="75" t="s">
        <v>1713</v>
      </c>
    </row>
    <row r="22" spans="1:30" ht="72.5" x14ac:dyDescent="0.35">
      <c r="A22" s="66" t="s">
        <v>868</v>
      </c>
      <c r="B22" s="67" t="s">
        <v>869</v>
      </c>
      <c r="C22" s="58" t="s">
        <v>870</v>
      </c>
      <c r="D22" s="58" t="s">
        <v>871</v>
      </c>
      <c r="E22" s="58" t="s">
        <v>760</v>
      </c>
      <c r="F22" s="58" t="s">
        <v>88</v>
      </c>
      <c r="G22" s="58" t="s">
        <v>85</v>
      </c>
      <c r="H22" s="58" t="s">
        <v>872</v>
      </c>
      <c r="I22" s="68" t="s">
        <v>873</v>
      </c>
      <c r="J22" s="58" t="s">
        <v>874</v>
      </c>
      <c r="K22" s="58" t="s">
        <v>875</v>
      </c>
      <c r="L22" s="58" t="s">
        <v>876</v>
      </c>
      <c r="M22" s="58" t="s">
        <v>1065</v>
      </c>
      <c r="N22" s="58" t="s">
        <v>877</v>
      </c>
      <c r="O22" s="58" t="s">
        <v>948</v>
      </c>
      <c r="P22" s="58" t="s">
        <v>713</v>
      </c>
      <c r="Q22" s="58" t="s">
        <v>84</v>
      </c>
      <c r="R22" s="58" t="s">
        <v>714</v>
      </c>
      <c r="S22" s="64">
        <v>46247</v>
      </c>
      <c r="T22" s="69" t="s">
        <v>715</v>
      </c>
      <c r="U22" s="58" t="s">
        <v>716</v>
      </c>
      <c r="V22" s="75" t="s">
        <v>1374</v>
      </c>
      <c r="W22" s="75" t="s">
        <v>1358</v>
      </c>
      <c r="X22" s="75" t="s">
        <v>1356</v>
      </c>
      <c r="Y22" s="75" t="s">
        <v>1386</v>
      </c>
      <c r="Z22" s="75" t="s">
        <v>372</v>
      </c>
      <c r="AA22" s="75" t="s">
        <v>715</v>
      </c>
      <c r="AB22" s="75"/>
      <c r="AC22" s="75"/>
      <c r="AD22" s="75" t="s">
        <v>1713</v>
      </c>
    </row>
    <row r="23" spans="1:30" ht="87" x14ac:dyDescent="0.35">
      <c r="A23" s="66" t="s">
        <v>878</v>
      </c>
      <c r="B23" s="67" t="s">
        <v>879</v>
      </c>
      <c r="C23" s="58" t="s">
        <v>880</v>
      </c>
      <c r="D23" s="58" t="s">
        <v>881</v>
      </c>
      <c r="E23" s="58" t="s">
        <v>760</v>
      </c>
      <c r="F23" s="58" t="s">
        <v>88</v>
      </c>
      <c r="G23" s="58" t="s">
        <v>201</v>
      </c>
      <c r="H23" s="58" t="s">
        <v>882</v>
      </c>
      <c r="I23" s="68" t="s">
        <v>883</v>
      </c>
      <c r="J23" s="58" t="s">
        <v>884</v>
      </c>
      <c r="K23" s="58" t="s">
        <v>885</v>
      </c>
      <c r="L23" s="58" t="s">
        <v>886</v>
      </c>
      <c r="M23" s="58" t="s">
        <v>1065</v>
      </c>
      <c r="N23" s="58" t="s">
        <v>887</v>
      </c>
      <c r="O23" s="58" t="s">
        <v>948</v>
      </c>
      <c r="P23" s="58" t="s">
        <v>713</v>
      </c>
      <c r="Q23" s="58" t="s">
        <v>84</v>
      </c>
      <c r="R23" s="58" t="s">
        <v>714</v>
      </c>
      <c r="S23" s="64">
        <v>46247</v>
      </c>
      <c r="T23" s="69" t="s">
        <v>715</v>
      </c>
      <c r="U23" s="58" t="s">
        <v>716</v>
      </c>
      <c r="V23" s="75" t="s">
        <v>1377</v>
      </c>
      <c r="W23" s="75" t="s">
        <v>1358</v>
      </c>
      <c r="X23" s="75" t="s">
        <v>1356</v>
      </c>
      <c r="Y23" s="75" t="s">
        <v>1388</v>
      </c>
      <c r="Z23" s="75" t="s">
        <v>372</v>
      </c>
      <c r="AA23" s="75" t="s">
        <v>715</v>
      </c>
      <c r="AB23" s="75"/>
      <c r="AC23" s="75"/>
      <c r="AD23" s="75" t="s">
        <v>1713</v>
      </c>
    </row>
    <row r="24" spans="1:30" ht="87" x14ac:dyDescent="0.35">
      <c r="A24" s="66" t="s">
        <v>888</v>
      </c>
      <c r="B24" s="67" t="s">
        <v>889</v>
      </c>
      <c r="C24" s="58" t="s">
        <v>890</v>
      </c>
      <c r="D24" s="58" t="s">
        <v>881</v>
      </c>
      <c r="E24" s="58" t="s">
        <v>760</v>
      </c>
      <c r="F24" s="58" t="s">
        <v>88</v>
      </c>
      <c r="G24" s="58" t="s">
        <v>201</v>
      </c>
      <c r="H24" s="58" t="s">
        <v>762</v>
      </c>
      <c r="I24" s="68" t="s">
        <v>891</v>
      </c>
      <c r="J24" s="58" t="s">
        <v>892</v>
      </c>
      <c r="K24" s="58" t="s">
        <v>893</v>
      </c>
      <c r="L24" s="58" t="s">
        <v>894</v>
      </c>
      <c r="M24" s="58" t="s">
        <v>1065</v>
      </c>
      <c r="N24" s="58" t="s">
        <v>895</v>
      </c>
      <c r="O24" s="58" t="s">
        <v>948</v>
      </c>
      <c r="P24" s="58" t="s">
        <v>713</v>
      </c>
      <c r="Q24" s="58" t="s">
        <v>84</v>
      </c>
      <c r="R24" s="58" t="s">
        <v>714</v>
      </c>
      <c r="S24" s="64">
        <v>46247</v>
      </c>
      <c r="T24" s="69" t="s">
        <v>715</v>
      </c>
      <c r="U24" s="58" t="s">
        <v>716</v>
      </c>
      <c r="V24" s="75" t="s">
        <v>1377</v>
      </c>
      <c r="W24" s="75" t="s">
        <v>1358</v>
      </c>
      <c r="X24" s="75" t="s">
        <v>1356</v>
      </c>
      <c r="Y24" s="75" t="s">
        <v>1383</v>
      </c>
      <c r="Z24" s="75" t="s">
        <v>372</v>
      </c>
      <c r="AA24" s="75" t="s">
        <v>715</v>
      </c>
      <c r="AB24" s="75"/>
      <c r="AC24" s="75"/>
      <c r="AD24" s="75" t="s">
        <v>1713</v>
      </c>
    </row>
    <row r="25" spans="1:30" ht="58" x14ac:dyDescent="0.35">
      <c r="A25" s="66" t="s">
        <v>896</v>
      </c>
      <c r="B25" s="67" t="s">
        <v>897</v>
      </c>
      <c r="C25" s="58" t="s">
        <v>898</v>
      </c>
      <c r="D25" s="58" t="s">
        <v>881</v>
      </c>
      <c r="E25" s="58" t="s">
        <v>760</v>
      </c>
      <c r="F25" s="58" t="s">
        <v>88</v>
      </c>
      <c r="G25" s="58" t="s">
        <v>761</v>
      </c>
      <c r="H25" s="58" t="s">
        <v>881</v>
      </c>
      <c r="I25" s="68" t="s">
        <v>899</v>
      </c>
      <c r="J25" s="58" t="s">
        <v>900</v>
      </c>
      <c r="K25" s="58" t="s">
        <v>901</v>
      </c>
      <c r="L25" s="58" t="s">
        <v>902</v>
      </c>
      <c r="M25" s="58" t="s">
        <v>1065</v>
      </c>
      <c r="N25" s="58" t="s">
        <v>903</v>
      </c>
      <c r="O25" s="58" t="s">
        <v>948</v>
      </c>
      <c r="P25" s="58" t="s">
        <v>713</v>
      </c>
      <c r="Q25" s="58" t="s">
        <v>84</v>
      </c>
      <c r="R25" s="58" t="s">
        <v>714</v>
      </c>
      <c r="S25" s="64">
        <v>46247</v>
      </c>
      <c r="T25" s="69" t="s">
        <v>715</v>
      </c>
      <c r="U25" s="58" t="s">
        <v>716</v>
      </c>
      <c r="V25" s="75" t="s">
        <v>1370</v>
      </c>
      <c r="W25" s="75" t="s">
        <v>1358</v>
      </c>
      <c r="X25" s="75" t="s">
        <v>1356</v>
      </c>
      <c r="Y25" s="75" t="s">
        <v>1389</v>
      </c>
      <c r="Z25" s="75" t="s">
        <v>372</v>
      </c>
      <c r="AA25" s="75" t="s">
        <v>715</v>
      </c>
      <c r="AB25" s="75"/>
      <c r="AC25" s="75"/>
      <c r="AD25" s="75" t="s">
        <v>1713</v>
      </c>
    </row>
    <row r="26" spans="1:30" ht="72.5" x14ac:dyDescent="0.35">
      <c r="A26" s="66" t="s">
        <v>904</v>
      </c>
      <c r="B26" s="67" t="s">
        <v>905</v>
      </c>
      <c r="C26" s="58" t="s">
        <v>906</v>
      </c>
      <c r="D26" s="58" t="s">
        <v>759</v>
      </c>
      <c r="E26" s="58" t="s">
        <v>760</v>
      </c>
      <c r="F26" s="58" t="s">
        <v>88</v>
      </c>
      <c r="G26" s="58" t="s">
        <v>787</v>
      </c>
      <c r="H26" s="58" t="s">
        <v>824</v>
      </c>
      <c r="I26" s="68" t="s">
        <v>907</v>
      </c>
      <c r="J26" s="58" t="s">
        <v>908</v>
      </c>
      <c r="K26" s="58" t="s">
        <v>909</v>
      </c>
      <c r="L26" s="58" t="s">
        <v>910</v>
      </c>
      <c r="M26" s="58" t="s">
        <v>1066</v>
      </c>
      <c r="N26" s="58" t="s">
        <v>911</v>
      </c>
      <c r="O26" s="58" t="s">
        <v>948</v>
      </c>
      <c r="P26" s="58" t="s">
        <v>713</v>
      </c>
      <c r="Q26" s="58" t="s">
        <v>84</v>
      </c>
      <c r="R26" s="58" t="s">
        <v>714</v>
      </c>
      <c r="S26" s="64">
        <v>46247</v>
      </c>
      <c r="T26" s="69" t="s">
        <v>715</v>
      </c>
      <c r="U26" s="58" t="s">
        <v>716</v>
      </c>
      <c r="V26" s="75" t="s">
        <v>1371</v>
      </c>
      <c r="W26" s="75" t="s">
        <v>1358</v>
      </c>
      <c r="X26" s="75" t="s">
        <v>1356</v>
      </c>
      <c r="Y26" s="75" t="s">
        <v>1386</v>
      </c>
      <c r="Z26" s="75" t="s">
        <v>380</v>
      </c>
      <c r="AA26" s="75" t="s">
        <v>715</v>
      </c>
      <c r="AB26" s="75"/>
      <c r="AC26" s="75"/>
      <c r="AD26" s="75" t="s">
        <v>1713</v>
      </c>
    </row>
    <row r="27" spans="1:30" ht="87" x14ac:dyDescent="0.35">
      <c r="A27" s="66" t="s">
        <v>912</v>
      </c>
      <c r="B27" s="67" t="s">
        <v>913</v>
      </c>
      <c r="C27" s="58" t="s">
        <v>914</v>
      </c>
      <c r="D27" s="58" t="s">
        <v>915</v>
      </c>
      <c r="E27" s="58" t="s">
        <v>916</v>
      </c>
      <c r="F27" s="58" t="s">
        <v>88</v>
      </c>
      <c r="G27" s="58" t="s">
        <v>917</v>
      </c>
      <c r="H27" s="58" t="s">
        <v>918</v>
      </c>
      <c r="I27" s="68" t="s">
        <v>919</v>
      </c>
      <c r="J27" s="58" t="s">
        <v>920</v>
      </c>
      <c r="K27" s="58" t="s">
        <v>921</v>
      </c>
      <c r="L27" s="58" t="s">
        <v>922</v>
      </c>
      <c r="M27" s="58" t="s">
        <v>1066</v>
      </c>
      <c r="N27" s="58" t="s">
        <v>923</v>
      </c>
      <c r="O27" s="58" t="s">
        <v>948</v>
      </c>
      <c r="P27" s="58" t="s">
        <v>713</v>
      </c>
      <c r="Q27" s="58" t="s">
        <v>84</v>
      </c>
      <c r="R27" s="58" t="s">
        <v>714</v>
      </c>
      <c r="S27" s="64">
        <v>46247</v>
      </c>
      <c r="T27" s="69" t="s">
        <v>715</v>
      </c>
      <c r="U27" s="58" t="s">
        <v>716</v>
      </c>
      <c r="V27" s="75" t="s">
        <v>1378</v>
      </c>
      <c r="W27" s="75" t="s">
        <v>1358</v>
      </c>
      <c r="X27" s="75" t="s">
        <v>1356</v>
      </c>
      <c r="Y27" s="75" t="s">
        <v>1387</v>
      </c>
      <c r="Z27" s="75" t="s">
        <v>380</v>
      </c>
      <c r="AA27" s="75" t="s">
        <v>715</v>
      </c>
      <c r="AB27" s="75"/>
      <c r="AC27" s="75"/>
      <c r="AD27" s="75" t="s">
        <v>1713</v>
      </c>
    </row>
    <row r="28" spans="1:30" ht="72.5" x14ac:dyDescent="0.35">
      <c r="A28" s="66" t="s">
        <v>924</v>
      </c>
      <c r="B28" s="67" t="s">
        <v>925</v>
      </c>
      <c r="C28" s="58" t="s">
        <v>926</v>
      </c>
      <c r="D28" s="58" t="s">
        <v>927</v>
      </c>
      <c r="E28" s="58" t="s">
        <v>928</v>
      </c>
      <c r="F28" s="58" t="s">
        <v>88</v>
      </c>
      <c r="G28" s="58" t="s">
        <v>85</v>
      </c>
      <c r="H28" s="58" t="s">
        <v>929</v>
      </c>
      <c r="I28" s="68" t="s">
        <v>930</v>
      </c>
      <c r="J28" s="58" t="s">
        <v>931</v>
      </c>
      <c r="K28" s="58" t="s">
        <v>932</v>
      </c>
      <c r="L28" s="58" t="s">
        <v>933</v>
      </c>
      <c r="M28" s="58" t="s">
        <v>1067</v>
      </c>
      <c r="N28" s="58" t="s">
        <v>934</v>
      </c>
      <c r="O28" s="58" t="s">
        <v>948</v>
      </c>
      <c r="P28" s="58" t="s">
        <v>713</v>
      </c>
      <c r="Q28" s="58" t="s">
        <v>84</v>
      </c>
      <c r="R28" s="58" t="s">
        <v>714</v>
      </c>
      <c r="S28" s="64">
        <v>46247</v>
      </c>
      <c r="T28" s="69" t="s">
        <v>715</v>
      </c>
      <c r="U28" s="58" t="s">
        <v>716</v>
      </c>
      <c r="V28" s="75" t="s">
        <v>1374</v>
      </c>
      <c r="W28" s="75" t="s">
        <v>1358</v>
      </c>
      <c r="X28" s="75" t="s">
        <v>1356</v>
      </c>
      <c r="Y28" s="75" t="s">
        <v>1387</v>
      </c>
      <c r="Z28" s="75" t="s">
        <v>1357</v>
      </c>
      <c r="AA28" s="75" t="s">
        <v>715</v>
      </c>
      <c r="AB28" s="75"/>
      <c r="AC28" s="75"/>
      <c r="AD28" s="75" t="s">
        <v>1713</v>
      </c>
    </row>
    <row r="29" spans="1:30" ht="87" x14ac:dyDescent="0.35">
      <c r="A29" s="73" t="s">
        <v>1090</v>
      </c>
      <c r="B29" s="74" t="s">
        <v>1091</v>
      </c>
      <c r="C29" s="75" t="s">
        <v>1092</v>
      </c>
      <c r="D29" s="75" t="s">
        <v>851</v>
      </c>
      <c r="E29" s="75" t="s">
        <v>760</v>
      </c>
      <c r="F29" s="75" t="s">
        <v>88</v>
      </c>
      <c r="G29" s="75" t="s">
        <v>1093</v>
      </c>
      <c r="H29" s="75" t="s">
        <v>872</v>
      </c>
      <c r="I29" s="76" t="s">
        <v>73</v>
      </c>
      <c r="J29" s="75" t="s">
        <v>1094</v>
      </c>
      <c r="K29" s="75" t="s">
        <v>1095</v>
      </c>
      <c r="L29" s="75" t="s">
        <v>1096</v>
      </c>
      <c r="M29" s="75" t="s">
        <v>1065</v>
      </c>
      <c r="N29" s="75" t="s">
        <v>1097</v>
      </c>
      <c r="O29" s="75" t="s">
        <v>1206</v>
      </c>
      <c r="P29" s="75"/>
      <c r="Q29" s="75" t="s">
        <v>1098</v>
      </c>
      <c r="R29" s="75" t="s">
        <v>1099</v>
      </c>
      <c r="S29" s="77" t="s">
        <v>1100</v>
      </c>
      <c r="T29" s="78" t="s">
        <v>715</v>
      </c>
      <c r="U29" s="75" t="s">
        <v>1101</v>
      </c>
      <c r="V29" s="75" t="s">
        <v>1379</v>
      </c>
      <c r="W29" s="75" t="s">
        <v>1358</v>
      </c>
      <c r="X29" s="75" t="s">
        <v>1356</v>
      </c>
      <c r="Y29" s="75" t="s">
        <v>1386</v>
      </c>
      <c r="Z29" s="75" t="s">
        <v>372</v>
      </c>
      <c r="AA29" s="75" t="s">
        <v>715</v>
      </c>
      <c r="AB29" s="75"/>
      <c r="AC29" s="75"/>
      <c r="AD29" s="75" t="s">
        <v>1713</v>
      </c>
    </row>
    <row r="30" spans="1:30" ht="58" x14ac:dyDescent="0.35">
      <c r="A30" s="73" t="s">
        <v>1102</v>
      </c>
      <c r="B30" s="74" t="s">
        <v>1103</v>
      </c>
      <c r="C30" s="75" t="s">
        <v>1104</v>
      </c>
      <c r="D30" s="75" t="s">
        <v>851</v>
      </c>
      <c r="E30" s="75" t="s">
        <v>1105</v>
      </c>
      <c r="F30" s="75" t="s">
        <v>88</v>
      </c>
      <c r="G30" s="75" t="s">
        <v>102</v>
      </c>
      <c r="H30" s="75" t="s">
        <v>788</v>
      </c>
      <c r="I30" s="76" t="s">
        <v>56</v>
      </c>
      <c r="J30" s="75" t="s">
        <v>1106</v>
      </c>
      <c r="K30" s="75" t="s">
        <v>1107</v>
      </c>
      <c r="L30" s="75" t="s">
        <v>1108</v>
      </c>
      <c r="M30" s="75" t="s">
        <v>1066</v>
      </c>
      <c r="N30" s="75" t="s">
        <v>1109</v>
      </c>
      <c r="O30" s="75" t="s">
        <v>1206</v>
      </c>
      <c r="P30" s="75"/>
      <c r="Q30" s="75" t="s">
        <v>1098</v>
      </c>
      <c r="R30" s="75" t="s">
        <v>1099</v>
      </c>
      <c r="S30" s="77" t="s">
        <v>1100</v>
      </c>
      <c r="T30" s="78" t="s">
        <v>715</v>
      </c>
      <c r="U30" s="75" t="s">
        <v>1101</v>
      </c>
      <c r="V30" s="75" t="s">
        <v>1376</v>
      </c>
      <c r="W30" s="75" t="s">
        <v>1358</v>
      </c>
      <c r="X30" s="75" t="s">
        <v>1356</v>
      </c>
      <c r="Y30" s="75" t="s">
        <v>1386</v>
      </c>
      <c r="Z30" s="75" t="s">
        <v>380</v>
      </c>
      <c r="AA30" s="75" t="s">
        <v>715</v>
      </c>
      <c r="AB30" s="75"/>
      <c r="AC30" s="75"/>
      <c r="AD30" s="75" t="s">
        <v>1713</v>
      </c>
    </row>
    <row r="31" spans="1:30" ht="58" x14ac:dyDescent="0.35">
      <c r="A31" s="73" t="s">
        <v>1110</v>
      </c>
      <c r="B31" s="74" t="s">
        <v>1111</v>
      </c>
      <c r="C31" s="75" t="s">
        <v>1112</v>
      </c>
      <c r="D31" s="75" t="s">
        <v>851</v>
      </c>
      <c r="E31" s="75" t="s">
        <v>760</v>
      </c>
      <c r="F31" s="75" t="s">
        <v>88</v>
      </c>
      <c r="G31" s="75" t="s">
        <v>102</v>
      </c>
      <c r="H31" s="75" t="s">
        <v>862</v>
      </c>
      <c r="I31" s="76" t="s">
        <v>57</v>
      </c>
      <c r="J31" s="75" t="s">
        <v>1113</v>
      </c>
      <c r="K31" s="75" t="s">
        <v>1107</v>
      </c>
      <c r="L31" s="75" t="s">
        <v>1114</v>
      </c>
      <c r="M31" s="75" t="s">
        <v>1066</v>
      </c>
      <c r="N31" s="75" t="s">
        <v>1115</v>
      </c>
      <c r="O31" s="75" t="s">
        <v>1206</v>
      </c>
      <c r="P31" s="75"/>
      <c r="Q31" s="75" t="s">
        <v>1098</v>
      </c>
      <c r="R31" s="75" t="s">
        <v>1099</v>
      </c>
      <c r="S31" s="77" t="s">
        <v>1100</v>
      </c>
      <c r="T31" s="78" t="s">
        <v>715</v>
      </c>
      <c r="U31" s="75" t="s">
        <v>1101</v>
      </c>
      <c r="V31" s="75" t="s">
        <v>1376</v>
      </c>
      <c r="W31" s="75" t="s">
        <v>1358</v>
      </c>
      <c r="X31" s="75" t="s">
        <v>1356</v>
      </c>
      <c r="Y31" s="75" t="s">
        <v>1387</v>
      </c>
      <c r="Z31" s="75" t="s">
        <v>380</v>
      </c>
      <c r="AA31" s="75" t="s">
        <v>715</v>
      </c>
      <c r="AB31" s="75"/>
      <c r="AC31" s="75"/>
      <c r="AD31" s="75" t="s">
        <v>1713</v>
      </c>
    </row>
    <row r="32" spans="1:30" ht="72.5" x14ac:dyDescent="0.35">
      <c r="A32" s="73" t="s">
        <v>1116</v>
      </c>
      <c r="B32" s="74" t="s">
        <v>1117</v>
      </c>
      <c r="C32" s="75" t="s">
        <v>1118</v>
      </c>
      <c r="D32" s="75" t="s">
        <v>851</v>
      </c>
      <c r="E32" s="75" t="s">
        <v>1105</v>
      </c>
      <c r="F32" s="75" t="s">
        <v>88</v>
      </c>
      <c r="G32" s="75" t="s">
        <v>102</v>
      </c>
      <c r="H32" s="75" t="s">
        <v>862</v>
      </c>
      <c r="I32" s="76" t="s">
        <v>58</v>
      </c>
      <c r="J32" s="75" t="s">
        <v>1119</v>
      </c>
      <c r="K32" s="75" t="s">
        <v>1107</v>
      </c>
      <c r="L32" s="75" t="s">
        <v>1120</v>
      </c>
      <c r="M32" s="75" t="s">
        <v>1067</v>
      </c>
      <c r="N32" s="75" t="s">
        <v>1121</v>
      </c>
      <c r="O32" s="75" t="s">
        <v>1206</v>
      </c>
      <c r="P32" s="75"/>
      <c r="Q32" s="75" t="s">
        <v>1098</v>
      </c>
      <c r="R32" s="75" t="s">
        <v>1099</v>
      </c>
      <c r="S32" s="77" t="s">
        <v>1100</v>
      </c>
      <c r="T32" s="78" t="s">
        <v>715</v>
      </c>
      <c r="U32" s="75" t="s">
        <v>1101</v>
      </c>
      <c r="V32" s="75" t="s">
        <v>1376</v>
      </c>
      <c r="W32" s="75" t="s">
        <v>1358</v>
      </c>
      <c r="X32" s="75" t="s">
        <v>1356</v>
      </c>
      <c r="Y32" s="75" t="s">
        <v>1387</v>
      </c>
      <c r="Z32" s="75" t="s">
        <v>1357</v>
      </c>
      <c r="AA32" s="75" t="s">
        <v>715</v>
      </c>
      <c r="AB32" s="75"/>
      <c r="AC32" s="75"/>
      <c r="AD32" s="75" t="s">
        <v>1713</v>
      </c>
    </row>
    <row r="33" spans="1:30" ht="58" x14ac:dyDescent="0.35">
      <c r="A33" s="73" t="s">
        <v>1122</v>
      </c>
      <c r="B33" s="74" t="s">
        <v>1123</v>
      </c>
      <c r="C33" s="75" t="s">
        <v>1124</v>
      </c>
      <c r="D33" s="75" t="s">
        <v>851</v>
      </c>
      <c r="E33" s="75" t="s">
        <v>760</v>
      </c>
      <c r="F33" s="75" t="s">
        <v>88</v>
      </c>
      <c r="G33" s="75" t="s">
        <v>102</v>
      </c>
      <c r="H33" s="75" t="s">
        <v>862</v>
      </c>
      <c r="I33" s="76" t="s">
        <v>59</v>
      </c>
      <c r="J33" s="75" t="s">
        <v>1094</v>
      </c>
      <c r="K33" s="75" t="s">
        <v>1107</v>
      </c>
      <c r="L33" s="75" t="s">
        <v>1125</v>
      </c>
      <c r="M33" s="75" t="s">
        <v>1066</v>
      </c>
      <c r="N33" s="75" t="s">
        <v>1126</v>
      </c>
      <c r="O33" s="75" t="s">
        <v>1206</v>
      </c>
      <c r="P33" s="75"/>
      <c r="Q33" s="75" t="s">
        <v>1098</v>
      </c>
      <c r="R33" s="75" t="s">
        <v>1099</v>
      </c>
      <c r="S33" s="77" t="s">
        <v>1100</v>
      </c>
      <c r="T33" s="78" t="s">
        <v>715</v>
      </c>
      <c r="U33" s="75" t="s">
        <v>1101</v>
      </c>
      <c r="V33" s="75" t="s">
        <v>1376</v>
      </c>
      <c r="W33" s="75" t="s">
        <v>1358</v>
      </c>
      <c r="X33" s="75" t="s">
        <v>1356</v>
      </c>
      <c r="Y33" s="75" t="s">
        <v>1387</v>
      </c>
      <c r="Z33" s="75" t="s">
        <v>380</v>
      </c>
      <c r="AA33" s="75" t="s">
        <v>715</v>
      </c>
      <c r="AB33" s="75"/>
      <c r="AC33" s="75"/>
      <c r="AD33" s="75" t="s">
        <v>1713</v>
      </c>
    </row>
    <row r="34" spans="1:30" ht="87" x14ac:dyDescent="0.35">
      <c r="A34" s="73" t="s">
        <v>1127</v>
      </c>
      <c r="B34" s="74" t="s">
        <v>1128</v>
      </c>
      <c r="C34" s="75" t="s">
        <v>1129</v>
      </c>
      <c r="D34" s="75" t="s">
        <v>1130</v>
      </c>
      <c r="E34" s="75" t="s">
        <v>1131</v>
      </c>
      <c r="F34" s="75" t="s">
        <v>88</v>
      </c>
      <c r="G34" s="75" t="s">
        <v>1132</v>
      </c>
      <c r="H34" s="75" t="s">
        <v>730</v>
      </c>
      <c r="I34" s="76" t="s">
        <v>60</v>
      </c>
      <c r="J34" s="75" t="s">
        <v>1133</v>
      </c>
      <c r="K34" s="75" t="s">
        <v>1134</v>
      </c>
      <c r="L34" s="75" t="s">
        <v>1135</v>
      </c>
      <c r="M34" s="75" t="s">
        <v>1066</v>
      </c>
      <c r="N34" s="75" t="s">
        <v>1136</v>
      </c>
      <c r="O34" s="75" t="s">
        <v>1206</v>
      </c>
      <c r="P34" s="75"/>
      <c r="Q34" s="75" t="s">
        <v>1098</v>
      </c>
      <c r="R34" s="75" t="s">
        <v>1099</v>
      </c>
      <c r="S34" s="77" t="s">
        <v>1100</v>
      </c>
      <c r="T34" s="78" t="s">
        <v>715</v>
      </c>
      <c r="U34" s="75" t="s">
        <v>1101</v>
      </c>
      <c r="V34" s="75" t="s">
        <v>1380</v>
      </c>
      <c r="W34" s="75" t="s">
        <v>1358</v>
      </c>
      <c r="X34" s="75" t="s">
        <v>1356</v>
      </c>
      <c r="Y34" s="75" t="s">
        <v>1130</v>
      </c>
      <c r="Z34" s="75" t="s">
        <v>380</v>
      </c>
      <c r="AA34" s="75" t="s">
        <v>715</v>
      </c>
      <c r="AB34" s="75"/>
      <c r="AC34" s="75"/>
      <c r="AD34" s="75" t="s">
        <v>1713</v>
      </c>
    </row>
    <row r="35" spans="1:30" ht="58" x14ac:dyDescent="0.35">
      <c r="A35" s="73" t="s">
        <v>1137</v>
      </c>
      <c r="B35" s="74" t="s">
        <v>1138</v>
      </c>
      <c r="C35" s="75" t="s">
        <v>1139</v>
      </c>
      <c r="D35" s="75" t="s">
        <v>851</v>
      </c>
      <c r="E35" s="75" t="s">
        <v>760</v>
      </c>
      <c r="F35" s="75" t="s">
        <v>88</v>
      </c>
      <c r="G35" s="75" t="s">
        <v>102</v>
      </c>
      <c r="H35" s="75" t="s">
        <v>762</v>
      </c>
      <c r="I35" s="76" t="s">
        <v>61</v>
      </c>
      <c r="J35" s="75" t="s">
        <v>1094</v>
      </c>
      <c r="K35" s="75" t="s">
        <v>1140</v>
      </c>
      <c r="L35" s="75" t="s">
        <v>1141</v>
      </c>
      <c r="M35" s="75" t="s">
        <v>1065</v>
      </c>
      <c r="N35" s="75" t="s">
        <v>1142</v>
      </c>
      <c r="O35" s="75" t="s">
        <v>1206</v>
      </c>
      <c r="P35" s="75"/>
      <c r="Q35" s="75" t="s">
        <v>1098</v>
      </c>
      <c r="R35" s="75" t="s">
        <v>1099</v>
      </c>
      <c r="S35" s="77" t="s">
        <v>1100</v>
      </c>
      <c r="T35" s="78" t="s">
        <v>715</v>
      </c>
      <c r="U35" s="75" t="s">
        <v>1101</v>
      </c>
      <c r="V35" s="75" t="s">
        <v>1376</v>
      </c>
      <c r="W35" s="75" t="s">
        <v>1358</v>
      </c>
      <c r="X35" s="75" t="s">
        <v>1356</v>
      </c>
      <c r="Y35" s="75" t="s">
        <v>1383</v>
      </c>
      <c r="Z35" s="75" t="s">
        <v>372</v>
      </c>
      <c r="AA35" s="75" t="s">
        <v>715</v>
      </c>
      <c r="AB35" s="75"/>
      <c r="AC35" s="75"/>
      <c r="AD35" s="75" t="s">
        <v>1713</v>
      </c>
    </row>
    <row r="36" spans="1:30" ht="159.5" x14ac:dyDescent="0.35">
      <c r="A36" s="73" t="s">
        <v>1143</v>
      </c>
      <c r="B36" s="74" t="s">
        <v>1144</v>
      </c>
      <c r="C36" s="75" t="s">
        <v>1145</v>
      </c>
      <c r="D36" s="75" t="s">
        <v>851</v>
      </c>
      <c r="E36" s="75" t="s">
        <v>760</v>
      </c>
      <c r="F36" s="75" t="s">
        <v>88</v>
      </c>
      <c r="G36" s="75" t="s">
        <v>102</v>
      </c>
      <c r="H36" s="75" t="s">
        <v>730</v>
      </c>
      <c r="I36" s="76" t="s">
        <v>62</v>
      </c>
      <c r="J36" s="75" t="s">
        <v>1146</v>
      </c>
      <c r="K36" s="75" t="s">
        <v>1107</v>
      </c>
      <c r="L36" s="75" t="s">
        <v>1147</v>
      </c>
      <c r="M36" s="75" t="s">
        <v>1066</v>
      </c>
      <c r="N36" s="75" t="s">
        <v>1148</v>
      </c>
      <c r="O36" s="75" t="s">
        <v>1206</v>
      </c>
      <c r="P36" s="75"/>
      <c r="Q36" s="75" t="s">
        <v>1098</v>
      </c>
      <c r="R36" s="75" t="s">
        <v>1099</v>
      </c>
      <c r="S36" s="77" t="s">
        <v>1100</v>
      </c>
      <c r="T36" s="78" t="s">
        <v>715</v>
      </c>
      <c r="U36" s="75" t="s">
        <v>1101</v>
      </c>
      <c r="V36" s="75" t="s">
        <v>1376</v>
      </c>
      <c r="W36" s="75" t="s">
        <v>1358</v>
      </c>
      <c r="X36" s="75" t="s">
        <v>1356</v>
      </c>
      <c r="Y36" s="75" t="s">
        <v>1389</v>
      </c>
      <c r="Z36" s="75" t="s">
        <v>380</v>
      </c>
      <c r="AA36" s="75" t="s">
        <v>715</v>
      </c>
      <c r="AB36" s="75"/>
      <c r="AC36" s="75"/>
      <c r="AD36" s="75" t="s">
        <v>1713</v>
      </c>
    </row>
    <row r="37" spans="1:30" ht="87" x14ac:dyDescent="0.35">
      <c r="A37" s="73" t="s">
        <v>1149</v>
      </c>
      <c r="B37" s="74" t="s">
        <v>1150</v>
      </c>
      <c r="C37" s="75" t="s">
        <v>1151</v>
      </c>
      <c r="D37" s="75" t="s">
        <v>851</v>
      </c>
      <c r="E37" s="75" t="s">
        <v>1152</v>
      </c>
      <c r="F37" s="75" t="s">
        <v>88</v>
      </c>
      <c r="G37" s="75" t="s">
        <v>102</v>
      </c>
      <c r="H37" s="75" t="s">
        <v>882</v>
      </c>
      <c r="I37" s="76" t="s">
        <v>63</v>
      </c>
      <c r="J37" s="75" t="s">
        <v>1153</v>
      </c>
      <c r="K37" s="75" t="s">
        <v>1154</v>
      </c>
      <c r="L37" s="75" t="s">
        <v>1155</v>
      </c>
      <c r="M37" s="75" t="s">
        <v>1066</v>
      </c>
      <c r="N37" s="75" t="s">
        <v>1156</v>
      </c>
      <c r="O37" s="75" t="s">
        <v>1206</v>
      </c>
      <c r="P37" s="75"/>
      <c r="Q37" s="75" t="s">
        <v>1098</v>
      </c>
      <c r="R37" s="75" t="s">
        <v>1099</v>
      </c>
      <c r="S37" s="77" t="s">
        <v>1100</v>
      </c>
      <c r="T37" s="78" t="s">
        <v>715</v>
      </c>
      <c r="U37" s="75" t="s">
        <v>1101</v>
      </c>
      <c r="V37" s="75" t="s">
        <v>1376</v>
      </c>
      <c r="W37" s="75" t="s">
        <v>1358</v>
      </c>
      <c r="X37" s="75" t="s">
        <v>1356</v>
      </c>
      <c r="Y37" s="75" t="s">
        <v>1388</v>
      </c>
      <c r="Z37" s="75" t="s">
        <v>380</v>
      </c>
      <c r="AA37" s="75" t="s">
        <v>715</v>
      </c>
      <c r="AB37" s="75"/>
      <c r="AC37" s="75"/>
      <c r="AD37" s="75" t="s">
        <v>1713</v>
      </c>
    </row>
    <row r="38" spans="1:30" ht="72.5" x14ac:dyDescent="0.35">
      <c r="A38" s="73" t="s">
        <v>1157</v>
      </c>
      <c r="B38" s="74" t="s">
        <v>1158</v>
      </c>
      <c r="C38" s="75" t="s">
        <v>1159</v>
      </c>
      <c r="D38" s="75" t="s">
        <v>851</v>
      </c>
      <c r="E38" s="75" t="s">
        <v>1160</v>
      </c>
      <c r="F38" s="75" t="s">
        <v>88</v>
      </c>
      <c r="G38" s="75" t="s">
        <v>102</v>
      </c>
      <c r="H38" s="75" t="s">
        <v>882</v>
      </c>
      <c r="I38" s="76" t="s">
        <v>64</v>
      </c>
      <c r="J38" s="75" t="s">
        <v>1106</v>
      </c>
      <c r="K38" s="75" t="s">
        <v>1161</v>
      </c>
      <c r="L38" s="75" t="s">
        <v>1162</v>
      </c>
      <c r="M38" s="75" t="s">
        <v>1066</v>
      </c>
      <c r="N38" s="75" t="s">
        <v>1163</v>
      </c>
      <c r="O38" s="75" t="s">
        <v>1206</v>
      </c>
      <c r="P38" s="75"/>
      <c r="Q38" s="75" t="s">
        <v>1098</v>
      </c>
      <c r="R38" s="75" t="s">
        <v>1099</v>
      </c>
      <c r="S38" s="77" t="s">
        <v>1100</v>
      </c>
      <c r="T38" s="78" t="s">
        <v>715</v>
      </c>
      <c r="U38" s="75" t="s">
        <v>1101</v>
      </c>
      <c r="V38" s="75" t="s">
        <v>1376</v>
      </c>
      <c r="W38" s="75" t="s">
        <v>1358</v>
      </c>
      <c r="X38" s="75" t="s">
        <v>1356</v>
      </c>
      <c r="Y38" s="75" t="s">
        <v>1388</v>
      </c>
      <c r="Z38" s="75" t="s">
        <v>380</v>
      </c>
      <c r="AA38" s="75" t="s">
        <v>715</v>
      </c>
      <c r="AB38" s="75"/>
      <c r="AC38" s="75"/>
      <c r="AD38" s="75" t="s">
        <v>1713</v>
      </c>
    </row>
    <row r="39" spans="1:30" ht="58" x14ac:dyDescent="0.35">
      <c r="A39" s="73" t="s">
        <v>1164</v>
      </c>
      <c r="B39" s="74" t="s">
        <v>1165</v>
      </c>
      <c r="C39" s="75" t="s">
        <v>1166</v>
      </c>
      <c r="D39" s="75" t="s">
        <v>851</v>
      </c>
      <c r="E39" s="75" t="s">
        <v>760</v>
      </c>
      <c r="F39" s="75" t="s">
        <v>88</v>
      </c>
      <c r="G39" s="75" t="s">
        <v>102</v>
      </c>
      <c r="H39" s="75" t="s">
        <v>882</v>
      </c>
      <c r="I39" s="76" t="s">
        <v>65</v>
      </c>
      <c r="J39" s="75" t="s">
        <v>1167</v>
      </c>
      <c r="K39" s="75" t="s">
        <v>1154</v>
      </c>
      <c r="L39" s="75" t="s">
        <v>1168</v>
      </c>
      <c r="M39" s="75" t="s">
        <v>1065</v>
      </c>
      <c r="N39" s="75" t="s">
        <v>1169</v>
      </c>
      <c r="O39" s="75" t="s">
        <v>1206</v>
      </c>
      <c r="P39" s="75"/>
      <c r="Q39" s="75" t="s">
        <v>1098</v>
      </c>
      <c r="R39" s="75" t="s">
        <v>1099</v>
      </c>
      <c r="S39" s="77" t="s">
        <v>1100</v>
      </c>
      <c r="T39" s="78" t="s">
        <v>715</v>
      </c>
      <c r="U39" s="75" t="s">
        <v>1101</v>
      </c>
      <c r="V39" s="75" t="s">
        <v>1376</v>
      </c>
      <c r="W39" s="75" t="s">
        <v>1358</v>
      </c>
      <c r="X39" s="75" t="s">
        <v>1356</v>
      </c>
      <c r="Y39" s="75" t="s">
        <v>1388</v>
      </c>
      <c r="Z39" s="75" t="s">
        <v>372</v>
      </c>
      <c r="AA39" s="75" t="s">
        <v>715</v>
      </c>
      <c r="AB39" s="75"/>
      <c r="AC39" s="75"/>
      <c r="AD39" s="75" t="s">
        <v>1713</v>
      </c>
    </row>
    <row r="40" spans="1:30" ht="58" x14ac:dyDescent="0.35">
      <c r="A40" s="73" t="s">
        <v>1170</v>
      </c>
      <c r="B40" s="74" t="s">
        <v>1171</v>
      </c>
      <c r="C40" s="75" t="s">
        <v>1172</v>
      </c>
      <c r="D40" s="75" t="s">
        <v>851</v>
      </c>
      <c r="E40" s="75" t="s">
        <v>1173</v>
      </c>
      <c r="F40" s="75" t="s">
        <v>88</v>
      </c>
      <c r="G40" s="75" t="s">
        <v>102</v>
      </c>
      <c r="H40" s="75" t="s">
        <v>1174</v>
      </c>
      <c r="I40" s="76" t="s">
        <v>66</v>
      </c>
      <c r="J40" s="75" t="s">
        <v>1175</v>
      </c>
      <c r="K40" s="75" t="s">
        <v>1176</v>
      </c>
      <c r="L40" s="75" t="s">
        <v>1177</v>
      </c>
      <c r="M40" s="75" t="s">
        <v>1066</v>
      </c>
      <c r="N40" s="75" t="s">
        <v>1178</v>
      </c>
      <c r="O40" s="75" t="s">
        <v>1206</v>
      </c>
      <c r="P40" s="75"/>
      <c r="Q40" s="75" t="s">
        <v>1098</v>
      </c>
      <c r="R40" s="75" t="s">
        <v>1099</v>
      </c>
      <c r="S40" s="77" t="s">
        <v>1100</v>
      </c>
      <c r="T40" s="78" t="s">
        <v>715</v>
      </c>
      <c r="U40" s="75" t="s">
        <v>1101</v>
      </c>
      <c r="V40" s="75" t="s">
        <v>1376</v>
      </c>
      <c r="W40" s="75" t="s">
        <v>1358</v>
      </c>
      <c r="X40" s="75" t="s">
        <v>1356</v>
      </c>
      <c r="Y40" s="75" t="s">
        <v>1388</v>
      </c>
      <c r="Z40" s="75" t="s">
        <v>380</v>
      </c>
      <c r="AA40" s="75" t="s">
        <v>715</v>
      </c>
      <c r="AB40" s="75"/>
      <c r="AC40" s="75"/>
      <c r="AD40" s="75" t="s">
        <v>1713</v>
      </c>
    </row>
    <row r="41" spans="1:30" ht="72.5" x14ac:dyDescent="0.35">
      <c r="A41" s="73" t="s">
        <v>1179</v>
      </c>
      <c r="B41" s="74" t="s">
        <v>1180</v>
      </c>
      <c r="C41" s="75" t="s">
        <v>1181</v>
      </c>
      <c r="D41" s="75" t="s">
        <v>851</v>
      </c>
      <c r="E41" s="75" t="s">
        <v>1182</v>
      </c>
      <c r="F41" s="75" t="s">
        <v>88</v>
      </c>
      <c r="G41" s="75" t="s">
        <v>102</v>
      </c>
      <c r="H41" s="75" t="s">
        <v>882</v>
      </c>
      <c r="I41" s="76" t="s">
        <v>67</v>
      </c>
      <c r="J41" s="75" t="s">
        <v>1106</v>
      </c>
      <c r="K41" s="75" t="s">
        <v>1154</v>
      </c>
      <c r="L41" s="75" t="s">
        <v>1183</v>
      </c>
      <c r="M41" s="75" t="s">
        <v>1066</v>
      </c>
      <c r="N41" s="75" t="s">
        <v>1184</v>
      </c>
      <c r="O41" s="75" t="s">
        <v>1206</v>
      </c>
      <c r="P41" s="75"/>
      <c r="Q41" s="75" t="s">
        <v>1098</v>
      </c>
      <c r="R41" s="75" t="s">
        <v>1099</v>
      </c>
      <c r="S41" s="77" t="s">
        <v>1100</v>
      </c>
      <c r="T41" s="78" t="s">
        <v>715</v>
      </c>
      <c r="U41" s="75" t="s">
        <v>1101</v>
      </c>
      <c r="V41" s="75" t="s">
        <v>1376</v>
      </c>
      <c r="W41" s="75" t="s">
        <v>1358</v>
      </c>
      <c r="X41" s="75" t="s">
        <v>1356</v>
      </c>
      <c r="Y41" s="75" t="s">
        <v>1388</v>
      </c>
      <c r="Z41" s="75" t="s">
        <v>380</v>
      </c>
      <c r="AA41" s="75" t="s">
        <v>715</v>
      </c>
      <c r="AB41" s="75"/>
      <c r="AC41" s="75"/>
      <c r="AD41" s="75" t="s">
        <v>1713</v>
      </c>
    </row>
    <row r="42" spans="1:30" ht="58" x14ac:dyDescent="0.35">
      <c r="A42" s="73" t="s">
        <v>1185</v>
      </c>
      <c r="B42" s="74" t="s">
        <v>1186</v>
      </c>
      <c r="C42" s="75" t="s">
        <v>1187</v>
      </c>
      <c r="D42" s="75" t="s">
        <v>851</v>
      </c>
      <c r="E42" s="75" t="s">
        <v>1188</v>
      </c>
      <c r="F42" s="75" t="s">
        <v>88</v>
      </c>
      <c r="G42" s="75" t="s">
        <v>102</v>
      </c>
      <c r="H42" s="75" t="s">
        <v>882</v>
      </c>
      <c r="I42" s="76" t="s">
        <v>68</v>
      </c>
      <c r="J42" s="75" t="s">
        <v>1106</v>
      </c>
      <c r="K42" s="75" t="s">
        <v>1154</v>
      </c>
      <c r="L42" s="75" t="s">
        <v>1189</v>
      </c>
      <c r="M42" s="75" t="s">
        <v>1066</v>
      </c>
      <c r="N42" s="75" t="s">
        <v>1190</v>
      </c>
      <c r="O42" s="75" t="s">
        <v>1206</v>
      </c>
      <c r="P42" s="75"/>
      <c r="Q42" s="75" t="s">
        <v>1098</v>
      </c>
      <c r="R42" s="75" t="s">
        <v>1099</v>
      </c>
      <c r="S42" s="77" t="s">
        <v>1100</v>
      </c>
      <c r="T42" s="78" t="s">
        <v>715</v>
      </c>
      <c r="U42" s="75" t="s">
        <v>1101</v>
      </c>
      <c r="V42" s="75" t="s">
        <v>1376</v>
      </c>
      <c r="W42" s="75" t="s">
        <v>1358</v>
      </c>
      <c r="X42" s="75" t="s">
        <v>1356</v>
      </c>
      <c r="Y42" s="75" t="s">
        <v>1388</v>
      </c>
      <c r="Z42" s="75" t="s">
        <v>380</v>
      </c>
      <c r="AA42" s="75" t="s">
        <v>715</v>
      </c>
      <c r="AB42" s="75"/>
      <c r="AC42" s="75"/>
      <c r="AD42" s="75" t="s">
        <v>1713</v>
      </c>
    </row>
    <row r="43" spans="1:30" ht="58" x14ac:dyDescent="0.35">
      <c r="A43" s="73" t="s">
        <v>1191</v>
      </c>
      <c r="B43" s="74" t="s">
        <v>1192</v>
      </c>
      <c r="C43" s="75" t="s">
        <v>1193</v>
      </c>
      <c r="D43" s="75" t="s">
        <v>851</v>
      </c>
      <c r="E43" s="75" t="s">
        <v>760</v>
      </c>
      <c r="F43" s="75" t="s">
        <v>88</v>
      </c>
      <c r="G43" s="75" t="s">
        <v>102</v>
      </c>
      <c r="H43" s="75" t="s">
        <v>882</v>
      </c>
      <c r="I43" s="76" t="s">
        <v>69</v>
      </c>
      <c r="J43" s="75" t="s">
        <v>1113</v>
      </c>
      <c r="K43" s="75" t="s">
        <v>1154</v>
      </c>
      <c r="L43" s="75" t="s">
        <v>1194</v>
      </c>
      <c r="M43" s="75" t="s">
        <v>1065</v>
      </c>
      <c r="N43" s="75" t="s">
        <v>1195</v>
      </c>
      <c r="O43" s="75" t="s">
        <v>1206</v>
      </c>
      <c r="P43" s="75"/>
      <c r="Q43" s="75" t="s">
        <v>1098</v>
      </c>
      <c r="R43" s="75" t="s">
        <v>1099</v>
      </c>
      <c r="S43" s="77" t="s">
        <v>1100</v>
      </c>
      <c r="T43" s="78" t="s">
        <v>715</v>
      </c>
      <c r="U43" s="75" t="s">
        <v>1101</v>
      </c>
      <c r="V43" s="75" t="s">
        <v>1376</v>
      </c>
      <c r="W43" s="75" t="s">
        <v>1358</v>
      </c>
      <c r="X43" s="75" t="s">
        <v>1356</v>
      </c>
      <c r="Y43" s="75" t="s">
        <v>1388</v>
      </c>
      <c r="Z43" s="75" t="s">
        <v>372</v>
      </c>
      <c r="AA43" s="75" t="s">
        <v>715</v>
      </c>
      <c r="AB43" s="75"/>
      <c r="AC43" s="75"/>
      <c r="AD43" s="75" t="s">
        <v>1713</v>
      </c>
    </row>
    <row r="44" spans="1:30" ht="58" x14ac:dyDescent="0.35">
      <c r="A44" s="73" t="s">
        <v>1196</v>
      </c>
      <c r="B44" s="74" t="s">
        <v>1197</v>
      </c>
      <c r="C44" s="75" t="s">
        <v>1198</v>
      </c>
      <c r="D44" s="75" t="s">
        <v>851</v>
      </c>
      <c r="E44" s="75" t="s">
        <v>760</v>
      </c>
      <c r="F44" s="75" t="s">
        <v>88</v>
      </c>
      <c r="G44" s="75" t="s">
        <v>102</v>
      </c>
      <c r="H44" s="75" t="s">
        <v>882</v>
      </c>
      <c r="I44" s="76" t="s">
        <v>70</v>
      </c>
      <c r="J44" s="75" t="s">
        <v>1106</v>
      </c>
      <c r="K44" s="75" t="s">
        <v>1154</v>
      </c>
      <c r="L44" s="75" t="s">
        <v>1199</v>
      </c>
      <c r="M44" s="75" t="s">
        <v>1065</v>
      </c>
      <c r="N44" s="75" t="s">
        <v>1200</v>
      </c>
      <c r="O44" s="75" t="s">
        <v>1206</v>
      </c>
      <c r="P44" s="75"/>
      <c r="Q44" s="75" t="s">
        <v>1098</v>
      </c>
      <c r="R44" s="75" t="s">
        <v>1099</v>
      </c>
      <c r="S44" s="77" t="s">
        <v>1100</v>
      </c>
      <c r="T44" s="78" t="s">
        <v>715</v>
      </c>
      <c r="U44" s="75" t="s">
        <v>1101</v>
      </c>
      <c r="V44" s="75" t="s">
        <v>1376</v>
      </c>
      <c r="W44" s="75" t="s">
        <v>1358</v>
      </c>
      <c r="X44" s="75" t="s">
        <v>1356</v>
      </c>
      <c r="Y44" s="75" t="s">
        <v>1388</v>
      </c>
      <c r="Z44" s="75" t="s">
        <v>372</v>
      </c>
      <c r="AA44" s="75" t="s">
        <v>715</v>
      </c>
      <c r="AB44" s="75"/>
      <c r="AC44" s="75"/>
      <c r="AD44" s="75" t="s">
        <v>1713</v>
      </c>
    </row>
  </sheetData>
  <mergeCells count="2">
    <mergeCell ref="A1:U1"/>
    <mergeCell ref="A2:U2"/>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3725A-1A05-4D2E-93A0-290D2E094474}">
  <sheetPr>
    <tabColor rgb="FF6E4A7E"/>
  </sheetPr>
  <dimension ref="A1:G11"/>
  <sheetViews>
    <sheetView showGridLines="0" workbookViewId="0">
      <pane ySplit="4" topLeftCell="A5" activePane="bottomLeft" state="frozen"/>
      <selection pane="bottomLeft" activeCell="A2" sqref="A2:G2"/>
    </sheetView>
  </sheetViews>
  <sheetFormatPr baseColWidth="10" defaultRowHeight="14.5" x14ac:dyDescent="0.35"/>
  <cols>
    <col min="1" max="1" width="28.1796875" customWidth="1"/>
    <col min="2" max="2" width="19.08984375" customWidth="1"/>
    <col min="3" max="3" width="47.26953125" customWidth="1"/>
    <col min="4" max="4" width="10.90625" customWidth="1"/>
    <col min="5" max="5" width="14.54296875" customWidth="1"/>
    <col min="6" max="6" width="28.1796875" customWidth="1"/>
    <col min="7" max="7" width="41.81640625" customWidth="1"/>
  </cols>
  <sheetData>
    <row r="1" spans="1:7" ht="36" customHeight="1" thickBot="1" x14ac:dyDescent="0.6">
      <c r="A1" s="160" t="s">
        <v>941</v>
      </c>
      <c r="B1" s="160"/>
      <c r="C1" s="160"/>
      <c r="D1" s="160"/>
      <c r="E1" s="160"/>
      <c r="F1" s="160"/>
      <c r="G1" s="160"/>
    </row>
    <row r="2" spans="1:7" ht="30" customHeight="1" thickTop="1" x14ac:dyDescent="0.35">
      <c r="A2" s="159" t="s">
        <v>942</v>
      </c>
      <c r="B2" s="159"/>
      <c r="C2" s="159"/>
      <c r="D2" s="159"/>
      <c r="E2" s="159"/>
      <c r="F2" s="159"/>
      <c r="G2" s="159"/>
    </row>
    <row r="3" spans="1:7" x14ac:dyDescent="0.35">
      <c r="A3" s="31"/>
      <c r="B3" s="31"/>
      <c r="C3" s="31"/>
      <c r="D3" s="31"/>
      <c r="E3" s="31"/>
      <c r="F3" s="31"/>
      <c r="G3" s="31"/>
    </row>
    <row r="4" spans="1:7" x14ac:dyDescent="0.35">
      <c r="A4" s="65" t="s">
        <v>1073</v>
      </c>
      <c r="B4" s="65" t="s">
        <v>943</v>
      </c>
      <c r="C4" s="65" t="s">
        <v>944</v>
      </c>
      <c r="D4" s="65" t="s">
        <v>371</v>
      </c>
      <c r="E4" s="65" t="s">
        <v>945</v>
      </c>
      <c r="F4" s="65" t="s">
        <v>946</v>
      </c>
      <c r="G4" s="65" t="s">
        <v>947</v>
      </c>
    </row>
    <row r="5" spans="1:7" ht="29" x14ac:dyDescent="0.35">
      <c r="A5" s="66" t="s">
        <v>948</v>
      </c>
      <c r="B5" s="67" t="s">
        <v>949</v>
      </c>
      <c r="C5" s="58" t="s">
        <v>950</v>
      </c>
      <c r="D5" s="70">
        <v>1</v>
      </c>
      <c r="E5" s="71" t="s">
        <v>951</v>
      </c>
      <c r="F5" s="58" t="s">
        <v>952</v>
      </c>
      <c r="G5" s="58" t="s">
        <v>953</v>
      </c>
    </row>
    <row r="6" spans="1:7" ht="29" x14ac:dyDescent="0.35">
      <c r="A6" s="66" t="s">
        <v>954</v>
      </c>
      <c r="B6" s="67" t="s">
        <v>949</v>
      </c>
      <c r="C6" s="58" t="s">
        <v>955</v>
      </c>
      <c r="D6" s="70">
        <v>1</v>
      </c>
      <c r="E6" s="71" t="s">
        <v>951</v>
      </c>
      <c r="F6" s="58" t="s">
        <v>956</v>
      </c>
      <c r="G6" s="58" t="s">
        <v>957</v>
      </c>
    </row>
    <row r="7" spans="1:7" x14ac:dyDescent="0.35">
      <c r="A7" s="66" t="s">
        <v>270</v>
      </c>
      <c r="B7" s="67" t="s">
        <v>949</v>
      </c>
      <c r="C7" s="58" t="s">
        <v>271</v>
      </c>
      <c r="D7" s="70">
        <v>1</v>
      </c>
      <c r="E7" s="71" t="s">
        <v>951</v>
      </c>
      <c r="F7" s="58" t="s">
        <v>958</v>
      </c>
      <c r="G7" s="58" t="s">
        <v>959</v>
      </c>
    </row>
    <row r="8" spans="1:7" x14ac:dyDescent="0.35">
      <c r="A8" s="66" t="s">
        <v>960</v>
      </c>
      <c r="B8" s="67" t="s">
        <v>949</v>
      </c>
      <c r="C8" s="58" t="s">
        <v>961</v>
      </c>
      <c r="D8" s="70">
        <v>1</v>
      </c>
      <c r="E8" s="71" t="s">
        <v>951</v>
      </c>
      <c r="F8" s="58" t="s">
        <v>962</v>
      </c>
      <c r="G8" s="58" t="s">
        <v>963</v>
      </c>
    </row>
    <row r="9" spans="1:7" ht="29" x14ac:dyDescent="0.35">
      <c r="A9" s="66" t="s">
        <v>267</v>
      </c>
      <c r="B9" s="67" t="s">
        <v>964</v>
      </c>
      <c r="C9" s="58" t="s">
        <v>269</v>
      </c>
      <c r="D9" s="70">
        <v>2</v>
      </c>
      <c r="E9" s="71" t="s">
        <v>965</v>
      </c>
      <c r="F9" s="58" t="s">
        <v>966</v>
      </c>
      <c r="G9" s="58" t="s">
        <v>967</v>
      </c>
    </row>
    <row r="10" spans="1:7" x14ac:dyDescent="0.35">
      <c r="A10" s="66" t="s">
        <v>266</v>
      </c>
      <c r="B10" s="67" t="s">
        <v>964</v>
      </c>
      <c r="C10" s="58" t="s">
        <v>268</v>
      </c>
      <c r="D10" s="70">
        <v>3</v>
      </c>
      <c r="E10" s="71" t="s">
        <v>968</v>
      </c>
      <c r="F10" s="58" t="s">
        <v>969</v>
      </c>
      <c r="G10" s="58" t="s">
        <v>970</v>
      </c>
    </row>
    <row r="11" spans="1:7" ht="29" x14ac:dyDescent="0.35">
      <c r="A11" s="66" t="s">
        <v>971</v>
      </c>
      <c r="B11" s="67" t="s">
        <v>972</v>
      </c>
      <c r="C11" s="58" t="s">
        <v>973</v>
      </c>
      <c r="D11" s="70">
        <v>3</v>
      </c>
      <c r="E11" s="71" t="s">
        <v>968</v>
      </c>
      <c r="F11" s="58" t="s">
        <v>974</v>
      </c>
      <c r="G11" s="58" t="s">
        <v>975</v>
      </c>
    </row>
  </sheetData>
  <mergeCells count="2">
    <mergeCell ref="A1:G1"/>
    <mergeCell ref="A2:G2"/>
  </mergeCell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8FC73-F256-463E-A467-52B81227A404}">
  <sheetPr>
    <tabColor rgb="FF6E4A7E"/>
  </sheetPr>
  <dimension ref="A1:M44"/>
  <sheetViews>
    <sheetView showGridLines="0" workbookViewId="0">
      <pane ySplit="4" topLeftCell="A5" activePane="bottomLeft" state="frozen"/>
      <selection pane="bottomLeft" activeCell="A2" sqref="A2:M2"/>
    </sheetView>
  </sheetViews>
  <sheetFormatPr baseColWidth="10" defaultRowHeight="14.5" x14ac:dyDescent="0.35"/>
  <cols>
    <col min="1" max="1" width="11.81640625" customWidth="1"/>
    <col min="2" max="2" width="26.36328125" customWidth="1"/>
    <col min="3" max="3" width="16.36328125" customWidth="1"/>
    <col min="4" max="4" width="15.453125" customWidth="1"/>
    <col min="5" max="5" width="11.81640625" customWidth="1"/>
    <col min="6" max="6" width="14.54296875" customWidth="1"/>
    <col min="7" max="7" width="11.81640625" customWidth="1"/>
    <col min="8" max="8" width="14.54296875" customWidth="1"/>
    <col min="9" max="9" width="11.81640625" customWidth="1"/>
    <col min="10" max="10" width="14.54296875" customWidth="1"/>
    <col min="11" max="11" width="12.7265625" customWidth="1"/>
    <col min="12" max="12" width="15.453125" customWidth="1"/>
    <col min="13" max="13" width="43.6328125" customWidth="1"/>
  </cols>
  <sheetData>
    <row r="1" spans="1:13" ht="36" customHeight="1" thickBot="1" x14ac:dyDescent="0.6">
      <c r="A1" s="160" t="s">
        <v>976</v>
      </c>
      <c r="B1" s="160"/>
      <c r="C1" s="160"/>
      <c r="D1" s="160"/>
      <c r="E1" s="160"/>
      <c r="F1" s="160"/>
      <c r="G1" s="160"/>
      <c r="H1" s="160"/>
      <c r="I1" s="160"/>
      <c r="J1" s="160"/>
      <c r="K1" s="160"/>
      <c r="L1" s="160"/>
      <c r="M1" s="160"/>
    </row>
    <row r="2" spans="1:13" ht="30" customHeight="1" thickTop="1" x14ac:dyDescent="0.35">
      <c r="A2" s="159" t="s">
        <v>977</v>
      </c>
      <c r="B2" s="159"/>
      <c r="C2" s="159"/>
      <c r="D2" s="159"/>
      <c r="E2" s="159"/>
      <c r="F2" s="159"/>
      <c r="G2" s="159"/>
      <c r="H2" s="159"/>
      <c r="I2" s="159"/>
      <c r="J2" s="159"/>
      <c r="K2" s="159"/>
      <c r="L2" s="159"/>
      <c r="M2" s="159"/>
    </row>
    <row r="3" spans="1:13" x14ac:dyDescent="0.35">
      <c r="A3" s="31"/>
      <c r="B3" s="31"/>
      <c r="C3" s="31"/>
      <c r="D3" s="31"/>
      <c r="E3" s="31"/>
      <c r="F3" s="31"/>
      <c r="G3" s="31"/>
      <c r="H3" s="31"/>
      <c r="I3" s="31"/>
      <c r="J3" s="31"/>
      <c r="K3" s="31"/>
      <c r="L3" s="31"/>
      <c r="M3" s="31"/>
    </row>
    <row r="4" spans="1:13" ht="29" x14ac:dyDescent="0.35">
      <c r="A4" s="65" t="s">
        <v>978</v>
      </c>
      <c r="B4" s="65" t="s">
        <v>439</v>
      </c>
      <c r="C4" s="65" t="s">
        <v>979</v>
      </c>
      <c r="D4" s="65" t="s">
        <v>980</v>
      </c>
      <c r="E4" s="65" t="s">
        <v>981</v>
      </c>
      <c r="F4" s="65" t="s">
        <v>982</v>
      </c>
      <c r="G4" s="65" t="s">
        <v>983</v>
      </c>
      <c r="H4" s="65" t="s">
        <v>984</v>
      </c>
      <c r="I4" s="65" t="s">
        <v>273</v>
      </c>
      <c r="J4" s="65" t="s">
        <v>985</v>
      </c>
      <c r="K4" s="65" t="s">
        <v>986</v>
      </c>
      <c r="L4" s="65" t="s">
        <v>1074</v>
      </c>
      <c r="M4" s="65" t="s">
        <v>987</v>
      </c>
    </row>
    <row r="5" spans="1:13" x14ac:dyDescent="0.35">
      <c r="A5" s="66" t="s">
        <v>702</v>
      </c>
      <c r="B5" s="67" t="s">
        <v>703</v>
      </c>
      <c r="C5" s="58" t="s">
        <v>988</v>
      </c>
      <c r="D5" s="58"/>
      <c r="E5" s="68"/>
      <c r="F5" s="68"/>
      <c r="G5" s="68"/>
      <c r="H5" s="68"/>
      <c r="I5" s="68"/>
      <c r="J5" s="68"/>
      <c r="K5" s="72" t="str">
        <f>IF(COUNTA(E5:J5)=0,"",AVERAGE(E5:J5))</f>
        <v/>
      </c>
      <c r="L5" s="69" t="s">
        <v>989</v>
      </c>
      <c r="M5" s="58"/>
    </row>
    <row r="6" spans="1:13" ht="29" x14ac:dyDescent="0.35">
      <c r="A6" s="66" t="s">
        <v>717</v>
      </c>
      <c r="B6" s="67" t="s">
        <v>718</v>
      </c>
      <c r="C6" s="58" t="s">
        <v>988</v>
      </c>
      <c r="D6" s="58"/>
      <c r="E6" s="68"/>
      <c r="F6" s="68"/>
      <c r="G6" s="68"/>
      <c r="H6" s="68"/>
      <c r="I6" s="68"/>
      <c r="J6" s="68"/>
      <c r="K6" s="72" t="str">
        <f t="shared" ref="K6:K28" si="0">IF(COUNTA(E6:J6)=0,"",AVERAGE(E6:J6))</f>
        <v/>
      </c>
      <c r="L6" s="69" t="s">
        <v>989</v>
      </c>
      <c r="M6" s="58"/>
    </row>
    <row r="7" spans="1:13" ht="29" x14ac:dyDescent="0.35">
      <c r="A7" s="66" t="s">
        <v>725</v>
      </c>
      <c r="B7" s="67" t="s">
        <v>726</v>
      </c>
      <c r="C7" s="58" t="s">
        <v>988</v>
      </c>
      <c r="D7" s="58"/>
      <c r="E7" s="68"/>
      <c r="F7" s="68"/>
      <c r="G7" s="68"/>
      <c r="H7" s="68"/>
      <c r="I7" s="68"/>
      <c r="J7" s="68"/>
      <c r="K7" s="72" t="str">
        <f t="shared" si="0"/>
        <v/>
      </c>
      <c r="L7" s="69" t="s">
        <v>989</v>
      </c>
      <c r="M7" s="58"/>
    </row>
    <row r="8" spans="1:13" x14ac:dyDescent="0.35">
      <c r="A8" s="66" t="s">
        <v>736</v>
      </c>
      <c r="B8" s="67" t="s">
        <v>737</v>
      </c>
      <c r="C8" s="58" t="s">
        <v>988</v>
      </c>
      <c r="D8" s="58"/>
      <c r="E8" s="68"/>
      <c r="F8" s="68"/>
      <c r="G8" s="68"/>
      <c r="H8" s="68"/>
      <c r="I8" s="68"/>
      <c r="J8" s="68"/>
      <c r="K8" s="72" t="str">
        <f t="shared" si="0"/>
        <v/>
      </c>
      <c r="L8" s="69" t="s">
        <v>989</v>
      </c>
      <c r="M8" s="58"/>
    </row>
    <row r="9" spans="1:13" ht="29" x14ac:dyDescent="0.35">
      <c r="A9" s="66" t="s">
        <v>746</v>
      </c>
      <c r="B9" s="67" t="s">
        <v>747</v>
      </c>
      <c r="C9" s="58" t="s">
        <v>988</v>
      </c>
      <c r="D9" s="58"/>
      <c r="E9" s="68"/>
      <c r="F9" s="68"/>
      <c r="G9" s="68"/>
      <c r="H9" s="68"/>
      <c r="I9" s="68"/>
      <c r="J9" s="68"/>
      <c r="K9" s="72" t="str">
        <f t="shared" si="0"/>
        <v/>
      </c>
      <c r="L9" s="69" t="s">
        <v>989</v>
      </c>
      <c r="M9" s="58"/>
    </row>
    <row r="10" spans="1:13" x14ac:dyDescent="0.35">
      <c r="A10" s="66" t="s">
        <v>756</v>
      </c>
      <c r="B10" s="67" t="s">
        <v>757</v>
      </c>
      <c r="C10" s="58" t="s">
        <v>988</v>
      </c>
      <c r="D10" s="58"/>
      <c r="E10" s="68"/>
      <c r="F10" s="68"/>
      <c r="G10" s="68"/>
      <c r="H10" s="68"/>
      <c r="I10" s="68"/>
      <c r="J10" s="68"/>
      <c r="K10" s="72" t="str">
        <f t="shared" si="0"/>
        <v/>
      </c>
      <c r="L10" s="69" t="s">
        <v>989</v>
      </c>
      <c r="M10" s="58"/>
    </row>
    <row r="11" spans="1:13" ht="29" x14ac:dyDescent="0.35">
      <c r="A11" s="66" t="s">
        <v>768</v>
      </c>
      <c r="B11" s="67" t="s">
        <v>769</v>
      </c>
      <c r="C11" s="58" t="s">
        <v>988</v>
      </c>
      <c r="D11" s="58"/>
      <c r="E11" s="68"/>
      <c r="F11" s="68"/>
      <c r="G11" s="68"/>
      <c r="H11" s="68"/>
      <c r="I11" s="68"/>
      <c r="J11" s="68"/>
      <c r="K11" s="72" t="str">
        <f t="shared" si="0"/>
        <v/>
      </c>
      <c r="L11" s="69" t="s">
        <v>989</v>
      </c>
      <c r="M11" s="58"/>
    </row>
    <row r="12" spans="1:13" ht="29" x14ac:dyDescent="0.35">
      <c r="A12" s="66" t="s">
        <v>774</v>
      </c>
      <c r="B12" s="67" t="s">
        <v>775</v>
      </c>
      <c r="C12" s="58" t="s">
        <v>988</v>
      </c>
      <c r="D12" s="58"/>
      <c r="E12" s="68"/>
      <c r="F12" s="68"/>
      <c r="G12" s="68"/>
      <c r="H12" s="68"/>
      <c r="I12" s="68"/>
      <c r="J12" s="68"/>
      <c r="K12" s="72" t="str">
        <f t="shared" si="0"/>
        <v/>
      </c>
      <c r="L12" s="69" t="s">
        <v>989</v>
      </c>
      <c r="M12" s="58"/>
    </row>
    <row r="13" spans="1:13" x14ac:dyDescent="0.35">
      <c r="A13" s="66" t="s">
        <v>782</v>
      </c>
      <c r="B13" s="67" t="s">
        <v>783</v>
      </c>
      <c r="C13" s="58" t="s">
        <v>988</v>
      </c>
      <c r="D13" s="58"/>
      <c r="E13" s="68"/>
      <c r="F13" s="68"/>
      <c r="G13" s="68"/>
      <c r="H13" s="68"/>
      <c r="I13" s="68"/>
      <c r="J13" s="68"/>
      <c r="K13" s="72" t="str">
        <f t="shared" si="0"/>
        <v/>
      </c>
      <c r="L13" s="69" t="s">
        <v>989</v>
      </c>
      <c r="M13" s="58"/>
    </row>
    <row r="14" spans="1:13" ht="29" x14ac:dyDescent="0.35">
      <c r="A14" s="66" t="s">
        <v>794</v>
      </c>
      <c r="B14" s="67" t="s">
        <v>795</v>
      </c>
      <c r="C14" s="58" t="s">
        <v>988</v>
      </c>
      <c r="D14" s="58"/>
      <c r="E14" s="68"/>
      <c r="F14" s="68"/>
      <c r="G14" s="68"/>
      <c r="H14" s="68"/>
      <c r="I14" s="68"/>
      <c r="J14" s="68"/>
      <c r="K14" s="72" t="str">
        <f t="shared" si="0"/>
        <v/>
      </c>
      <c r="L14" s="69" t="s">
        <v>989</v>
      </c>
      <c r="M14" s="58"/>
    </row>
    <row r="15" spans="1:13" ht="29" x14ac:dyDescent="0.35">
      <c r="A15" s="66" t="s">
        <v>803</v>
      </c>
      <c r="B15" s="67" t="s">
        <v>804</v>
      </c>
      <c r="C15" s="58" t="s">
        <v>988</v>
      </c>
      <c r="D15" s="58"/>
      <c r="E15" s="68"/>
      <c r="F15" s="68"/>
      <c r="G15" s="68"/>
      <c r="H15" s="68"/>
      <c r="I15" s="68"/>
      <c r="J15" s="68"/>
      <c r="K15" s="72" t="str">
        <f t="shared" si="0"/>
        <v/>
      </c>
      <c r="L15" s="69" t="s">
        <v>989</v>
      </c>
      <c r="M15" s="58"/>
    </row>
    <row r="16" spans="1:13" x14ac:dyDescent="0.35">
      <c r="A16" s="66" t="s">
        <v>809</v>
      </c>
      <c r="B16" s="67" t="s">
        <v>810</v>
      </c>
      <c r="C16" s="58" t="s">
        <v>988</v>
      </c>
      <c r="D16" s="58"/>
      <c r="E16" s="68"/>
      <c r="F16" s="68"/>
      <c r="G16" s="68"/>
      <c r="H16" s="68"/>
      <c r="I16" s="68"/>
      <c r="J16" s="68"/>
      <c r="K16" s="72" t="str">
        <f t="shared" si="0"/>
        <v/>
      </c>
      <c r="L16" s="69" t="s">
        <v>989</v>
      </c>
      <c r="M16" s="58"/>
    </row>
    <row r="17" spans="1:13" ht="29" x14ac:dyDescent="0.35">
      <c r="A17" s="66" t="s">
        <v>820</v>
      </c>
      <c r="B17" s="67" t="s">
        <v>821</v>
      </c>
      <c r="C17" s="58" t="s">
        <v>988</v>
      </c>
      <c r="D17" s="58"/>
      <c r="E17" s="68"/>
      <c r="F17" s="68"/>
      <c r="G17" s="68"/>
      <c r="H17" s="68"/>
      <c r="I17" s="68"/>
      <c r="J17" s="68"/>
      <c r="K17" s="72" t="str">
        <f t="shared" si="0"/>
        <v/>
      </c>
      <c r="L17" s="69" t="s">
        <v>989</v>
      </c>
      <c r="M17" s="58"/>
    </row>
    <row r="18" spans="1:13" x14ac:dyDescent="0.35">
      <c r="A18" s="66" t="s">
        <v>830</v>
      </c>
      <c r="B18" s="67" t="s">
        <v>831</v>
      </c>
      <c r="C18" s="58" t="s">
        <v>988</v>
      </c>
      <c r="D18" s="58"/>
      <c r="E18" s="68"/>
      <c r="F18" s="68"/>
      <c r="G18" s="68"/>
      <c r="H18" s="68"/>
      <c r="I18" s="68"/>
      <c r="J18" s="68"/>
      <c r="K18" s="72" t="str">
        <f t="shared" si="0"/>
        <v/>
      </c>
      <c r="L18" s="69" t="s">
        <v>989</v>
      </c>
      <c r="M18" s="58"/>
    </row>
    <row r="19" spans="1:13" x14ac:dyDescent="0.35">
      <c r="A19" s="66" t="s">
        <v>839</v>
      </c>
      <c r="B19" s="67" t="s">
        <v>840</v>
      </c>
      <c r="C19" s="58" t="s">
        <v>988</v>
      </c>
      <c r="D19" s="58"/>
      <c r="E19" s="68"/>
      <c r="F19" s="68"/>
      <c r="G19" s="68"/>
      <c r="H19" s="68"/>
      <c r="I19" s="68"/>
      <c r="J19" s="68"/>
      <c r="K19" s="72" t="str">
        <f t="shared" si="0"/>
        <v/>
      </c>
      <c r="L19" s="69" t="s">
        <v>989</v>
      </c>
      <c r="M19" s="58"/>
    </row>
    <row r="20" spans="1:13" ht="29" x14ac:dyDescent="0.35">
      <c r="A20" s="66" t="s">
        <v>848</v>
      </c>
      <c r="B20" s="67" t="s">
        <v>849</v>
      </c>
      <c r="C20" s="58" t="s">
        <v>988</v>
      </c>
      <c r="D20" s="58"/>
      <c r="E20" s="68"/>
      <c r="F20" s="68"/>
      <c r="G20" s="68"/>
      <c r="H20" s="68"/>
      <c r="I20" s="68"/>
      <c r="J20" s="68"/>
      <c r="K20" s="72" t="str">
        <f t="shared" si="0"/>
        <v/>
      </c>
      <c r="L20" s="69" t="s">
        <v>989</v>
      </c>
      <c r="M20" s="58"/>
    </row>
    <row r="21" spans="1:13" x14ac:dyDescent="0.35">
      <c r="A21" s="66" t="s">
        <v>858</v>
      </c>
      <c r="B21" s="67" t="s">
        <v>859</v>
      </c>
      <c r="C21" s="58" t="s">
        <v>988</v>
      </c>
      <c r="D21" s="58"/>
      <c r="E21" s="68"/>
      <c r="F21" s="68"/>
      <c r="G21" s="68"/>
      <c r="H21" s="68"/>
      <c r="I21" s="68"/>
      <c r="J21" s="68"/>
      <c r="K21" s="72" t="str">
        <f t="shared" si="0"/>
        <v/>
      </c>
      <c r="L21" s="69" t="s">
        <v>989</v>
      </c>
      <c r="M21" s="58"/>
    </row>
    <row r="22" spans="1:13" ht="29" x14ac:dyDescent="0.35">
      <c r="A22" s="66" t="s">
        <v>868</v>
      </c>
      <c r="B22" s="67" t="s">
        <v>869</v>
      </c>
      <c r="C22" s="58" t="s">
        <v>988</v>
      </c>
      <c r="D22" s="58"/>
      <c r="E22" s="68"/>
      <c r="F22" s="68"/>
      <c r="G22" s="68"/>
      <c r="H22" s="68"/>
      <c r="I22" s="68"/>
      <c r="J22" s="68"/>
      <c r="K22" s="72" t="str">
        <f t="shared" si="0"/>
        <v/>
      </c>
      <c r="L22" s="69" t="s">
        <v>989</v>
      </c>
      <c r="M22" s="58"/>
    </row>
    <row r="23" spans="1:13" x14ac:dyDescent="0.35">
      <c r="A23" s="66" t="s">
        <v>878</v>
      </c>
      <c r="B23" s="67" t="s">
        <v>879</v>
      </c>
      <c r="C23" s="58" t="s">
        <v>988</v>
      </c>
      <c r="D23" s="58"/>
      <c r="E23" s="68"/>
      <c r="F23" s="68"/>
      <c r="G23" s="68"/>
      <c r="H23" s="68"/>
      <c r="I23" s="68"/>
      <c r="J23" s="68"/>
      <c r="K23" s="72" t="str">
        <f t="shared" si="0"/>
        <v/>
      </c>
      <c r="L23" s="69" t="s">
        <v>989</v>
      </c>
      <c r="M23" s="58"/>
    </row>
    <row r="24" spans="1:13" x14ac:dyDescent="0.35">
      <c r="A24" s="66" t="s">
        <v>888</v>
      </c>
      <c r="B24" s="67" t="s">
        <v>889</v>
      </c>
      <c r="C24" s="58" t="s">
        <v>988</v>
      </c>
      <c r="D24" s="58"/>
      <c r="E24" s="68"/>
      <c r="F24" s="68"/>
      <c r="G24" s="68"/>
      <c r="H24" s="68"/>
      <c r="I24" s="68"/>
      <c r="J24" s="68"/>
      <c r="K24" s="72" t="str">
        <f t="shared" si="0"/>
        <v/>
      </c>
      <c r="L24" s="69" t="s">
        <v>989</v>
      </c>
      <c r="M24" s="58"/>
    </row>
    <row r="25" spans="1:13" x14ac:dyDescent="0.35">
      <c r="A25" s="66" t="s">
        <v>896</v>
      </c>
      <c r="B25" s="67" t="s">
        <v>897</v>
      </c>
      <c r="C25" s="58" t="s">
        <v>988</v>
      </c>
      <c r="D25" s="58"/>
      <c r="E25" s="68"/>
      <c r="F25" s="68"/>
      <c r="G25" s="68"/>
      <c r="H25" s="68"/>
      <c r="I25" s="68"/>
      <c r="J25" s="68"/>
      <c r="K25" s="72" t="str">
        <f t="shared" si="0"/>
        <v/>
      </c>
      <c r="L25" s="69" t="s">
        <v>989</v>
      </c>
      <c r="M25" s="58"/>
    </row>
    <row r="26" spans="1:13" ht="29" x14ac:dyDescent="0.35">
      <c r="A26" s="66" t="s">
        <v>904</v>
      </c>
      <c r="B26" s="67" t="s">
        <v>905</v>
      </c>
      <c r="C26" s="58" t="s">
        <v>988</v>
      </c>
      <c r="D26" s="58"/>
      <c r="E26" s="68"/>
      <c r="F26" s="68"/>
      <c r="G26" s="68"/>
      <c r="H26" s="68"/>
      <c r="I26" s="68"/>
      <c r="J26" s="68"/>
      <c r="K26" s="72" t="str">
        <f t="shared" si="0"/>
        <v/>
      </c>
      <c r="L26" s="69" t="s">
        <v>989</v>
      </c>
      <c r="M26" s="58"/>
    </row>
    <row r="27" spans="1:13" x14ac:dyDescent="0.35">
      <c r="A27" s="66" t="s">
        <v>912</v>
      </c>
      <c r="B27" s="67" t="s">
        <v>913</v>
      </c>
      <c r="C27" s="58" t="s">
        <v>988</v>
      </c>
      <c r="D27" s="58"/>
      <c r="E27" s="68"/>
      <c r="F27" s="68"/>
      <c r="G27" s="68"/>
      <c r="H27" s="68"/>
      <c r="I27" s="68"/>
      <c r="J27" s="68"/>
      <c r="K27" s="72" t="str">
        <f t="shared" si="0"/>
        <v/>
      </c>
      <c r="L27" s="69" t="s">
        <v>989</v>
      </c>
      <c r="M27" s="58"/>
    </row>
    <row r="28" spans="1:13" x14ac:dyDescent="0.35">
      <c r="A28" s="66" t="s">
        <v>924</v>
      </c>
      <c r="B28" s="67" t="s">
        <v>925</v>
      </c>
      <c r="C28" s="58" t="s">
        <v>988</v>
      </c>
      <c r="D28" s="58"/>
      <c r="E28" s="68"/>
      <c r="F28" s="68"/>
      <c r="G28" s="68"/>
      <c r="H28" s="68"/>
      <c r="I28" s="68"/>
      <c r="J28" s="68"/>
      <c r="K28" s="72" t="str">
        <f t="shared" si="0"/>
        <v/>
      </c>
      <c r="L28" s="69" t="s">
        <v>989</v>
      </c>
      <c r="M28" s="58"/>
    </row>
    <row r="29" spans="1:13" ht="29" x14ac:dyDescent="0.35">
      <c r="A29" s="73" t="s">
        <v>1090</v>
      </c>
      <c r="B29" s="74" t="s">
        <v>1091</v>
      </c>
      <c r="C29" s="75" t="s">
        <v>988</v>
      </c>
      <c r="D29" s="75"/>
      <c r="E29" s="76"/>
      <c r="F29" s="76"/>
      <c r="G29" s="76"/>
      <c r="H29" s="76"/>
      <c r="I29" s="76"/>
      <c r="J29" s="76"/>
      <c r="K29" s="80" t="str">
        <f>IF(COUNTA(E29:J29)=0,"",AVERAGE(E29:J29))</f>
        <v/>
      </c>
      <c r="L29" s="78" t="s">
        <v>989</v>
      </c>
      <c r="M29" s="75"/>
    </row>
    <row r="30" spans="1:13" ht="29" x14ac:dyDescent="0.35">
      <c r="A30" s="73" t="s">
        <v>1102</v>
      </c>
      <c r="B30" s="74" t="s">
        <v>1103</v>
      </c>
      <c r="C30" s="75" t="s">
        <v>988</v>
      </c>
      <c r="D30" s="75"/>
      <c r="E30" s="76"/>
      <c r="F30" s="76"/>
      <c r="G30" s="76"/>
      <c r="H30" s="76"/>
      <c r="I30" s="76"/>
      <c r="J30" s="76"/>
      <c r="K30" s="80" t="str">
        <f t="shared" ref="K30:K44" si="1">IF(COUNTA(E30:J30)=0,"",AVERAGE(E30:J30))</f>
        <v/>
      </c>
      <c r="L30" s="78" t="s">
        <v>989</v>
      </c>
      <c r="M30" s="75"/>
    </row>
    <row r="31" spans="1:13" ht="29" x14ac:dyDescent="0.35">
      <c r="A31" s="73" t="s">
        <v>1110</v>
      </c>
      <c r="B31" s="74" t="s">
        <v>1111</v>
      </c>
      <c r="C31" s="75" t="s">
        <v>988</v>
      </c>
      <c r="D31" s="75"/>
      <c r="E31" s="76"/>
      <c r="F31" s="76"/>
      <c r="G31" s="76"/>
      <c r="H31" s="76"/>
      <c r="I31" s="76"/>
      <c r="J31" s="76"/>
      <c r="K31" s="80" t="str">
        <f t="shared" si="1"/>
        <v/>
      </c>
      <c r="L31" s="78" t="s">
        <v>989</v>
      </c>
      <c r="M31" s="75"/>
    </row>
    <row r="32" spans="1:13" ht="29" x14ac:dyDescent="0.35">
      <c r="A32" s="73" t="s">
        <v>1116</v>
      </c>
      <c r="B32" s="74" t="s">
        <v>1117</v>
      </c>
      <c r="C32" s="75" t="s">
        <v>988</v>
      </c>
      <c r="D32" s="75"/>
      <c r="E32" s="76"/>
      <c r="F32" s="76"/>
      <c r="G32" s="76"/>
      <c r="H32" s="76"/>
      <c r="I32" s="76"/>
      <c r="J32" s="76"/>
      <c r="K32" s="80" t="str">
        <f t="shared" si="1"/>
        <v/>
      </c>
      <c r="L32" s="78" t="s">
        <v>989</v>
      </c>
      <c r="M32" s="75"/>
    </row>
    <row r="33" spans="1:13" ht="29" x14ac:dyDescent="0.35">
      <c r="A33" s="73" t="s">
        <v>1122</v>
      </c>
      <c r="B33" s="74" t="s">
        <v>1123</v>
      </c>
      <c r="C33" s="75" t="s">
        <v>988</v>
      </c>
      <c r="D33" s="75"/>
      <c r="E33" s="76"/>
      <c r="F33" s="76"/>
      <c r="G33" s="76"/>
      <c r="H33" s="76"/>
      <c r="I33" s="76"/>
      <c r="J33" s="76"/>
      <c r="K33" s="80" t="str">
        <f t="shared" si="1"/>
        <v/>
      </c>
      <c r="L33" s="78" t="s">
        <v>989</v>
      </c>
      <c r="M33" s="75"/>
    </row>
    <row r="34" spans="1:13" ht="29" x14ac:dyDescent="0.35">
      <c r="A34" s="73" t="s">
        <v>1127</v>
      </c>
      <c r="B34" s="74" t="s">
        <v>1128</v>
      </c>
      <c r="C34" s="75" t="s">
        <v>988</v>
      </c>
      <c r="D34" s="75"/>
      <c r="E34" s="76"/>
      <c r="F34" s="76"/>
      <c r="G34" s="76"/>
      <c r="H34" s="76"/>
      <c r="I34" s="76"/>
      <c r="J34" s="76"/>
      <c r="K34" s="80" t="str">
        <f t="shared" si="1"/>
        <v/>
      </c>
      <c r="L34" s="78" t="s">
        <v>989</v>
      </c>
      <c r="M34" s="75"/>
    </row>
    <row r="35" spans="1:13" ht="29" x14ac:dyDescent="0.35">
      <c r="A35" s="73" t="s">
        <v>1137</v>
      </c>
      <c r="B35" s="74" t="s">
        <v>1138</v>
      </c>
      <c r="C35" s="75" t="s">
        <v>988</v>
      </c>
      <c r="D35" s="75"/>
      <c r="E35" s="76"/>
      <c r="F35" s="76"/>
      <c r="G35" s="76"/>
      <c r="H35" s="76"/>
      <c r="I35" s="76"/>
      <c r="J35" s="76"/>
      <c r="K35" s="80" t="str">
        <f t="shared" si="1"/>
        <v/>
      </c>
      <c r="L35" s="78" t="s">
        <v>989</v>
      </c>
      <c r="M35" s="75"/>
    </row>
    <row r="36" spans="1:13" ht="29" x14ac:dyDescent="0.35">
      <c r="A36" s="73" t="s">
        <v>1143</v>
      </c>
      <c r="B36" s="74" t="s">
        <v>1144</v>
      </c>
      <c r="C36" s="75" t="s">
        <v>988</v>
      </c>
      <c r="D36" s="75"/>
      <c r="E36" s="76"/>
      <c r="F36" s="76"/>
      <c r="G36" s="76"/>
      <c r="H36" s="76"/>
      <c r="I36" s="76"/>
      <c r="J36" s="76"/>
      <c r="K36" s="80" t="str">
        <f t="shared" si="1"/>
        <v/>
      </c>
      <c r="L36" s="78" t="s">
        <v>989</v>
      </c>
      <c r="M36" s="75"/>
    </row>
    <row r="37" spans="1:13" ht="29" x14ac:dyDescent="0.35">
      <c r="A37" s="73" t="s">
        <v>1149</v>
      </c>
      <c r="B37" s="74" t="s">
        <v>1150</v>
      </c>
      <c r="C37" s="75" t="s">
        <v>988</v>
      </c>
      <c r="D37" s="75"/>
      <c r="E37" s="76"/>
      <c r="F37" s="76"/>
      <c r="G37" s="76"/>
      <c r="H37" s="76"/>
      <c r="I37" s="76"/>
      <c r="J37" s="76"/>
      <c r="K37" s="80" t="str">
        <f t="shared" si="1"/>
        <v/>
      </c>
      <c r="L37" s="78" t="s">
        <v>989</v>
      </c>
      <c r="M37" s="75"/>
    </row>
    <row r="38" spans="1:13" ht="43.5" x14ac:dyDescent="0.35">
      <c r="A38" s="73" t="s">
        <v>1157</v>
      </c>
      <c r="B38" s="74" t="s">
        <v>1158</v>
      </c>
      <c r="C38" s="75" t="s">
        <v>988</v>
      </c>
      <c r="D38" s="75"/>
      <c r="E38" s="76"/>
      <c r="F38" s="76"/>
      <c r="G38" s="76"/>
      <c r="H38" s="76"/>
      <c r="I38" s="76"/>
      <c r="J38" s="76"/>
      <c r="K38" s="80" t="str">
        <f t="shared" si="1"/>
        <v/>
      </c>
      <c r="L38" s="78" t="s">
        <v>989</v>
      </c>
      <c r="M38" s="75"/>
    </row>
    <row r="39" spans="1:13" ht="29" x14ac:dyDescent="0.35">
      <c r="A39" s="73" t="s">
        <v>1164</v>
      </c>
      <c r="B39" s="74" t="s">
        <v>1165</v>
      </c>
      <c r="C39" s="75" t="s">
        <v>988</v>
      </c>
      <c r="D39" s="75"/>
      <c r="E39" s="76"/>
      <c r="F39" s="76"/>
      <c r="G39" s="76"/>
      <c r="H39" s="76"/>
      <c r="I39" s="76"/>
      <c r="J39" s="76"/>
      <c r="K39" s="80" t="str">
        <f t="shared" si="1"/>
        <v/>
      </c>
      <c r="L39" s="78" t="s">
        <v>989</v>
      </c>
      <c r="M39" s="75"/>
    </row>
    <row r="40" spans="1:13" ht="29" x14ac:dyDescent="0.35">
      <c r="A40" s="73" t="s">
        <v>1170</v>
      </c>
      <c r="B40" s="74" t="s">
        <v>1171</v>
      </c>
      <c r="C40" s="75" t="s">
        <v>988</v>
      </c>
      <c r="D40" s="75"/>
      <c r="E40" s="76"/>
      <c r="F40" s="76"/>
      <c r="G40" s="76"/>
      <c r="H40" s="76"/>
      <c r="I40" s="76"/>
      <c r="J40" s="76"/>
      <c r="K40" s="80" t="str">
        <f t="shared" si="1"/>
        <v/>
      </c>
      <c r="L40" s="78" t="s">
        <v>989</v>
      </c>
      <c r="M40" s="75"/>
    </row>
    <row r="41" spans="1:13" ht="29" x14ac:dyDescent="0.35">
      <c r="A41" s="73" t="s">
        <v>1179</v>
      </c>
      <c r="B41" s="74" t="s">
        <v>1180</v>
      </c>
      <c r="C41" s="75" t="s">
        <v>988</v>
      </c>
      <c r="D41" s="75"/>
      <c r="E41" s="76"/>
      <c r="F41" s="76"/>
      <c r="G41" s="76"/>
      <c r="H41" s="76"/>
      <c r="I41" s="76"/>
      <c r="J41" s="76"/>
      <c r="K41" s="80" t="str">
        <f t="shared" si="1"/>
        <v/>
      </c>
      <c r="L41" s="78" t="s">
        <v>989</v>
      </c>
      <c r="M41" s="75"/>
    </row>
    <row r="42" spans="1:13" ht="29" x14ac:dyDescent="0.35">
      <c r="A42" s="73" t="s">
        <v>1185</v>
      </c>
      <c r="B42" s="74" t="s">
        <v>1186</v>
      </c>
      <c r="C42" s="75" t="s">
        <v>988</v>
      </c>
      <c r="D42" s="75"/>
      <c r="E42" s="76"/>
      <c r="F42" s="76"/>
      <c r="G42" s="76"/>
      <c r="H42" s="76"/>
      <c r="I42" s="76"/>
      <c r="J42" s="76"/>
      <c r="K42" s="80" t="str">
        <f t="shared" si="1"/>
        <v/>
      </c>
      <c r="L42" s="78" t="s">
        <v>989</v>
      </c>
      <c r="M42" s="75"/>
    </row>
    <row r="43" spans="1:13" ht="29" x14ac:dyDescent="0.35">
      <c r="A43" s="73" t="s">
        <v>1191</v>
      </c>
      <c r="B43" s="74" t="s">
        <v>1192</v>
      </c>
      <c r="C43" s="75" t="s">
        <v>988</v>
      </c>
      <c r="D43" s="75"/>
      <c r="E43" s="76"/>
      <c r="F43" s="76"/>
      <c r="G43" s="76"/>
      <c r="H43" s="76"/>
      <c r="I43" s="76"/>
      <c r="J43" s="76"/>
      <c r="K43" s="80" t="str">
        <f t="shared" si="1"/>
        <v/>
      </c>
      <c r="L43" s="78" t="s">
        <v>989</v>
      </c>
      <c r="M43" s="75"/>
    </row>
    <row r="44" spans="1:13" ht="29" x14ac:dyDescent="0.35">
      <c r="A44" s="73" t="s">
        <v>1196</v>
      </c>
      <c r="B44" s="74" t="s">
        <v>1197</v>
      </c>
      <c r="C44" s="75" t="s">
        <v>988</v>
      </c>
      <c r="D44" s="75"/>
      <c r="E44" s="76"/>
      <c r="F44" s="76"/>
      <c r="G44" s="76"/>
      <c r="H44" s="76"/>
      <c r="I44" s="76"/>
      <c r="J44" s="76"/>
      <c r="K44" s="80" t="str">
        <f t="shared" si="1"/>
        <v/>
      </c>
      <c r="L44" s="78" t="s">
        <v>989</v>
      </c>
      <c r="M44" s="75"/>
    </row>
  </sheetData>
  <mergeCells count="2">
    <mergeCell ref="A1:M1"/>
    <mergeCell ref="A2:M2"/>
  </mergeCell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C458CC-B5A9-40CA-9A90-F80AAD5D96AC}">
  <sheetPr>
    <tabColor rgb="FFFF4FB8"/>
  </sheetPr>
  <dimension ref="A1:O34"/>
  <sheetViews>
    <sheetView workbookViewId="0">
      <selection activeCell="A34" sqref="A34:O34"/>
    </sheetView>
  </sheetViews>
  <sheetFormatPr baseColWidth="10" defaultRowHeight="14.5" x14ac:dyDescent="0.35"/>
  <cols>
    <col min="1" max="3" width="15.453125" customWidth="1"/>
    <col min="4" max="4" width="3.26953125" customWidth="1"/>
    <col min="5" max="7" width="15.453125" customWidth="1"/>
    <col min="8" max="8" width="3.26953125" customWidth="1"/>
    <col min="9" max="11" width="15.453125" customWidth="1"/>
    <col min="12" max="12" width="3.26953125" customWidth="1"/>
    <col min="13" max="15" width="15.453125" customWidth="1"/>
  </cols>
  <sheetData>
    <row r="1" spans="1:15" ht="38" customHeight="1" x14ac:dyDescent="0.6">
      <c r="A1" s="183" t="s">
        <v>995</v>
      </c>
      <c r="B1" s="183"/>
      <c r="C1" s="183"/>
      <c r="D1" s="183"/>
      <c r="E1" s="183"/>
      <c r="F1" s="183"/>
      <c r="G1" s="183"/>
      <c r="H1" s="183"/>
      <c r="I1" s="183"/>
      <c r="J1" s="183"/>
      <c r="K1" s="183"/>
      <c r="L1" s="183"/>
      <c r="M1" s="183"/>
      <c r="N1" s="183"/>
      <c r="O1" s="183"/>
    </row>
    <row r="2" spans="1:15" ht="26" customHeight="1" x14ac:dyDescent="0.35">
      <c r="A2" s="184" t="s">
        <v>996</v>
      </c>
      <c r="B2" s="184"/>
      <c r="C2" s="184"/>
      <c r="D2" s="184"/>
      <c r="E2" s="184"/>
      <c r="F2" s="184"/>
      <c r="G2" s="184"/>
      <c r="H2" s="184"/>
      <c r="I2" s="184"/>
      <c r="J2" s="184"/>
      <c r="K2" s="184"/>
      <c r="L2" s="184"/>
      <c r="M2" s="184"/>
      <c r="N2" s="184"/>
      <c r="O2" s="184"/>
    </row>
    <row r="4" spans="1:15" ht="28" customHeight="1" x14ac:dyDescent="0.4">
      <c r="A4" s="185" t="s">
        <v>997</v>
      </c>
      <c r="B4" s="185"/>
      <c r="C4" s="185"/>
      <c r="E4" s="188" t="s">
        <v>1018</v>
      </c>
      <c r="F4" s="188"/>
      <c r="G4" s="188"/>
      <c r="I4" s="191" t="s">
        <v>1028</v>
      </c>
      <c r="J4" s="191"/>
      <c r="K4" s="191"/>
      <c r="M4" s="195" t="s">
        <v>1039</v>
      </c>
      <c r="N4" s="195"/>
      <c r="O4" s="195"/>
    </row>
    <row r="5" spans="1:15" x14ac:dyDescent="0.35">
      <c r="A5" s="186" t="s">
        <v>998</v>
      </c>
      <c r="B5" s="186"/>
      <c r="C5" s="186"/>
      <c r="E5" s="189" t="s">
        <v>1019</v>
      </c>
      <c r="F5" s="189"/>
      <c r="G5" s="189"/>
      <c r="I5" s="192" t="s">
        <v>1029</v>
      </c>
      <c r="J5" s="192"/>
      <c r="K5" s="192"/>
      <c r="M5" s="196" t="s">
        <v>1040</v>
      </c>
      <c r="N5" s="196"/>
      <c r="O5" s="196"/>
    </row>
    <row r="6" spans="1:15" x14ac:dyDescent="0.35">
      <c r="A6" s="186"/>
      <c r="B6" s="186"/>
      <c r="C6" s="186"/>
      <c r="E6" s="189"/>
      <c r="F6" s="189"/>
      <c r="G6" s="189"/>
      <c r="I6" s="192"/>
      <c r="J6" s="192"/>
      <c r="K6" s="192"/>
      <c r="M6" s="196"/>
      <c r="N6" s="196"/>
      <c r="O6" s="196"/>
    </row>
    <row r="7" spans="1:15" x14ac:dyDescent="0.35">
      <c r="A7" s="3"/>
      <c r="B7" s="3"/>
      <c r="C7" s="3"/>
      <c r="E7" s="10"/>
      <c r="F7" s="10"/>
      <c r="G7" s="10"/>
      <c r="I7" s="17"/>
      <c r="J7" s="17"/>
      <c r="K7" s="17"/>
      <c r="M7" s="24"/>
      <c r="N7" s="24"/>
      <c r="O7" s="24"/>
    </row>
    <row r="8" spans="1:15" x14ac:dyDescent="0.35">
      <c r="A8" s="187" t="s">
        <v>999</v>
      </c>
      <c r="B8" s="187"/>
      <c r="C8" s="187"/>
      <c r="E8" s="190" t="s">
        <v>1020</v>
      </c>
      <c r="F8" s="190"/>
      <c r="G8" s="190"/>
      <c r="I8" s="193" t="s">
        <v>1030</v>
      </c>
      <c r="J8" s="193"/>
      <c r="K8" s="193"/>
      <c r="M8" s="197" t="s">
        <v>1041</v>
      </c>
      <c r="N8" s="197"/>
      <c r="O8" s="197"/>
    </row>
    <row r="9" spans="1:15" x14ac:dyDescent="0.35">
      <c r="A9" s="3"/>
      <c r="B9" s="3"/>
      <c r="C9" s="3"/>
      <c r="E9" s="10"/>
      <c r="F9" s="10"/>
      <c r="G9" s="10"/>
      <c r="I9" s="17"/>
      <c r="J9" s="17"/>
      <c r="K9" s="17"/>
      <c r="M9" s="24"/>
      <c r="N9" s="24"/>
      <c r="O9" s="24"/>
    </row>
    <row r="10" spans="1:15" ht="26" customHeight="1" x14ac:dyDescent="0.35">
      <c r="A10" s="5" t="s">
        <v>1000</v>
      </c>
      <c r="B10" s="6" t="s">
        <v>1001</v>
      </c>
      <c r="C10" s="4" t="s">
        <v>1002</v>
      </c>
      <c r="E10" s="12" t="s">
        <v>1021</v>
      </c>
      <c r="F10" s="13" t="s">
        <v>1022</v>
      </c>
      <c r="G10" s="11" t="s">
        <v>1023</v>
      </c>
      <c r="I10" s="19" t="s">
        <v>1031</v>
      </c>
      <c r="J10" s="20" t="s">
        <v>1032</v>
      </c>
      <c r="K10" s="18" t="s">
        <v>1033</v>
      </c>
      <c r="M10" s="26" t="s">
        <v>1042</v>
      </c>
      <c r="N10" s="27" t="s">
        <v>1043</v>
      </c>
      <c r="O10" s="25" t="s">
        <v>1044</v>
      </c>
    </row>
    <row r="11" spans="1:15" x14ac:dyDescent="0.35">
      <c r="A11" s="3"/>
      <c r="B11" s="3"/>
      <c r="C11" s="3"/>
      <c r="E11" s="10"/>
      <c r="F11" s="10"/>
      <c r="G11" s="10"/>
      <c r="I11" s="17"/>
      <c r="J11" s="17"/>
      <c r="K11" s="17"/>
      <c r="M11" s="24"/>
      <c r="N11" s="24"/>
      <c r="O11" s="24"/>
    </row>
    <row r="12" spans="1:15" ht="30" customHeight="1" x14ac:dyDescent="0.4">
      <c r="A12" s="182" t="s">
        <v>1003</v>
      </c>
      <c r="B12" s="182"/>
      <c r="C12" s="182"/>
      <c r="E12" s="194" t="s">
        <v>1024</v>
      </c>
      <c r="F12" s="194"/>
      <c r="G12" s="194"/>
      <c r="I12" s="199" t="s">
        <v>1034</v>
      </c>
      <c r="J12" s="199"/>
      <c r="K12" s="199"/>
      <c r="M12" s="198" t="s">
        <v>1045</v>
      </c>
      <c r="N12" s="198"/>
      <c r="O12" s="198"/>
    </row>
    <row r="13" spans="1:15" x14ac:dyDescent="0.35">
      <c r="A13" s="178" t="s">
        <v>1004</v>
      </c>
      <c r="B13" s="178"/>
      <c r="C13" s="178"/>
      <c r="E13" s="161" t="s">
        <v>1004</v>
      </c>
      <c r="F13" s="161"/>
      <c r="G13" s="161"/>
      <c r="I13" s="162" t="s">
        <v>1004</v>
      </c>
      <c r="J13" s="162"/>
      <c r="K13" s="162"/>
      <c r="M13" s="163" t="s">
        <v>1004</v>
      </c>
      <c r="N13" s="163"/>
      <c r="O13" s="163"/>
    </row>
    <row r="14" spans="1:15" x14ac:dyDescent="0.35">
      <c r="A14" s="178"/>
      <c r="B14" s="178"/>
      <c r="C14" s="178"/>
      <c r="E14" s="161"/>
      <c r="F14" s="161"/>
      <c r="G14" s="161"/>
      <c r="I14" s="162"/>
      <c r="J14" s="162"/>
      <c r="K14" s="162"/>
      <c r="M14" s="163"/>
      <c r="N14" s="163"/>
      <c r="O14" s="163"/>
    </row>
    <row r="15" spans="1:15" x14ac:dyDescent="0.35">
      <c r="A15" s="178"/>
      <c r="B15" s="178"/>
      <c r="C15" s="178"/>
      <c r="E15" s="161"/>
      <c r="F15" s="161"/>
      <c r="G15" s="161"/>
      <c r="I15" s="162"/>
      <c r="J15" s="162"/>
      <c r="K15" s="162"/>
      <c r="M15" s="163"/>
      <c r="N15" s="163"/>
      <c r="O15" s="163"/>
    </row>
    <row r="16" spans="1:15" x14ac:dyDescent="0.35">
      <c r="A16" s="3"/>
      <c r="B16" s="3"/>
      <c r="C16" s="3"/>
      <c r="E16" s="10"/>
      <c r="F16" s="10"/>
      <c r="G16" s="10"/>
      <c r="I16" s="17"/>
      <c r="J16" s="17"/>
      <c r="K16" s="17"/>
      <c r="M16" s="24"/>
      <c r="N16" s="24"/>
      <c r="O16" s="24"/>
    </row>
    <row r="17" spans="1:15" x14ac:dyDescent="0.35">
      <c r="A17" s="179" t="s">
        <v>1005</v>
      </c>
      <c r="B17" s="179"/>
      <c r="C17" s="179"/>
      <c r="E17" s="167" t="s">
        <v>1203</v>
      </c>
      <c r="F17" s="167"/>
      <c r="G17" s="167"/>
      <c r="I17" s="168" t="s">
        <v>1035</v>
      </c>
      <c r="J17" s="168"/>
      <c r="K17" s="168"/>
      <c r="M17" s="166" t="s">
        <v>1046</v>
      </c>
      <c r="N17" s="166"/>
      <c r="O17" s="166"/>
    </row>
    <row r="18" spans="1:15" x14ac:dyDescent="0.35">
      <c r="A18" s="3"/>
      <c r="B18" s="3"/>
      <c r="C18" s="3"/>
      <c r="E18" s="10"/>
      <c r="F18" s="10"/>
      <c r="G18" s="10"/>
      <c r="I18" s="17"/>
      <c r="J18" s="17"/>
      <c r="K18" s="17"/>
      <c r="M18" s="24"/>
      <c r="N18" s="24"/>
      <c r="O18" s="24"/>
    </row>
    <row r="19" spans="1:15" ht="28" customHeight="1" x14ac:dyDescent="0.35">
      <c r="A19" s="180" t="s">
        <v>1006</v>
      </c>
      <c r="B19" s="180"/>
      <c r="C19" s="180"/>
      <c r="E19" s="175" t="s">
        <v>1025</v>
      </c>
      <c r="F19" s="175"/>
      <c r="G19" s="175"/>
      <c r="I19" s="170" t="s">
        <v>1036</v>
      </c>
      <c r="J19" s="170"/>
      <c r="K19" s="170"/>
      <c r="M19" s="174" t="s">
        <v>1047</v>
      </c>
      <c r="N19" s="174"/>
      <c r="O19" s="174"/>
    </row>
    <row r="20" spans="1:15" x14ac:dyDescent="0.35">
      <c r="A20" s="3"/>
      <c r="B20" s="3"/>
      <c r="C20" s="3"/>
      <c r="E20" s="10"/>
      <c r="F20" s="10"/>
      <c r="G20" s="10"/>
      <c r="I20" s="17"/>
      <c r="J20" s="17"/>
      <c r="K20" s="17"/>
      <c r="M20" s="24"/>
      <c r="N20" s="24"/>
      <c r="O20" s="24"/>
    </row>
    <row r="21" spans="1:15" ht="24" customHeight="1" x14ac:dyDescent="0.35">
      <c r="A21" s="9" t="s">
        <v>1007</v>
      </c>
      <c r="B21" s="9" t="s">
        <v>1008</v>
      </c>
      <c r="C21" s="9" t="s">
        <v>1009</v>
      </c>
      <c r="E21" s="16" t="s">
        <v>1007</v>
      </c>
      <c r="F21" s="16" t="s">
        <v>1008</v>
      </c>
      <c r="G21" s="16" t="s">
        <v>1009</v>
      </c>
      <c r="I21" s="23" t="s">
        <v>1007</v>
      </c>
      <c r="J21" s="23" t="s">
        <v>1008</v>
      </c>
      <c r="K21" s="23" t="s">
        <v>1009</v>
      </c>
      <c r="M21" s="30" t="s">
        <v>1007</v>
      </c>
      <c r="N21" s="30" t="s">
        <v>1008</v>
      </c>
      <c r="O21" s="30" t="s">
        <v>1009</v>
      </c>
    </row>
    <row r="22" spans="1:15" ht="24" customHeight="1" x14ac:dyDescent="0.35">
      <c r="A22" s="8" t="s">
        <v>1010</v>
      </c>
      <c r="B22" s="8" t="s">
        <v>1011</v>
      </c>
      <c r="C22" s="8" t="s">
        <v>1012</v>
      </c>
      <c r="E22" s="15" t="s">
        <v>1010</v>
      </c>
      <c r="F22" s="15" t="s">
        <v>1011</v>
      </c>
      <c r="G22" s="15" t="s">
        <v>1012</v>
      </c>
      <c r="I22" s="22" t="s">
        <v>1010</v>
      </c>
      <c r="J22" s="22" t="s">
        <v>1011</v>
      </c>
      <c r="K22" s="22" t="s">
        <v>1012</v>
      </c>
      <c r="M22" s="29" t="s">
        <v>1010</v>
      </c>
      <c r="N22" s="29" t="s">
        <v>1011</v>
      </c>
      <c r="O22" s="29" t="s">
        <v>1012</v>
      </c>
    </row>
    <row r="23" spans="1:15" ht="24" customHeight="1" x14ac:dyDescent="0.35">
      <c r="A23" s="7" t="s">
        <v>1013</v>
      </c>
      <c r="B23" s="7" t="s">
        <v>1014</v>
      </c>
      <c r="C23" s="7" t="s">
        <v>1015</v>
      </c>
      <c r="E23" s="14" t="s">
        <v>1013</v>
      </c>
      <c r="F23" s="14" t="s">
        <v>1014</v>
      </c>
      <c r="G23" s="14" t="s">
        <v>1015</v>
      </c>
      <c r="I23" s="21" t="s">
        <v>1013</v>
      </c>
      <c r="J23" s="21" t="s">
        <v>1014</v>
      </c>
      <c r="K23" s="21" t="s">
        <v>1015</v>
      </c>
      <c r="M23" s="28" t="s">
        <v>1013</v>
      </c>
      <c r="N23" s="28" t="s">
        <v>1014</v>
      </c>
      <c r="O23" s="28" t="s">
        <v>1015</v>
      </c>
    </row>
    <row r="24" spans="1:15" x14ac:dyDescent="0.35">
      <c r="A24" s="3"/>
      <c r="B24" s="3"/>
      <c r="C24" s="3"/>
      <c r="E24" s="10"/>
      <c r="F24" s="10"/>
      <c r="G24" s="10"/>
      <c r="I24" s="17"/>
      <c r="J24" s="17"/>
      <c r="K24" s="17"/>
      <c r="M24" s="24"/>
      <c r="N24" s="24"/>
      <c r="O24" s="24"/>
    </row>
    <row r="25" spans="1:15" x14ac:dyDescent="0.35">
      <c r="A25" s="181" t="s">
        <v>1016</v>
      </c>
      <c r="B25" s="181"/>
      <c r="C25" s="181"/>
      <c r="E25" s="176" t="s">
        <v>1026</v>
      </c>
      <c r="F25" s="176"/>
      <c r="G25" s="176"/>
      <c r="I25" s="171" t="s">
        <v>1037</v>
      </c>
      <c r="J25" s="171"/>
      <c r="K25" s="171"/>
      <c r="M25" s="164" t="s">
        <v>1048</v>
      </c>
      <c r="N25" s="164"/>
      <c r="O25" s="164"/>
    </row>
    <row r="26" spans="1:15" x14ac:dyDescent="0.35">
      <c r="A26" s="3"/>
      <c r="B26" s="3"/>
      <c r="C26" s="3"/>
      <c r="E26" s="10"/>
      <c r="F26" s="10"/>
      <c r="G26" s="10"/>
      <c r="I26" s="17"/>
      <c r="J26" s="17"/>
      <c r="K26" s="17"/>
      <c r="M26" s="24"/>
      <c r="N26" s="24"/>
      <c r="O26" s="24"/>
    </row>
    <row r="27" spans="1:15" x14ac:dyDescent="0.35">
      <c r="A27" s="177" t="s">
        <v>1017</v>
      </c>
      <c r="B27" s="177"/>
      <c r="C27" s="177"/>
      <c r="E27" s="173" t="s">
        <v>1027</v>
      </c>
      <c r="F27" s="173"/>
      <c r="G27" s="173"/>
      <c r="I27" s="172" t="s">
        <v>1038</v>
      </c>
      <c r="J27" s="172"/>
      <c r="K27" s="172"/>
      <c r="M27" s="165" t="s">
        <v>1049</v>
      </c>
      <c r="N27" s="165"/>
      <c r="O27" s="165"/>
    </row>
    <row r="28" spans="1:15" x14ac:dyDescent="0.35">
      <c r="A28" s="177"/>
      <c r="B28" s="177"/>
      <c r="C28" s="177"/>
      <c r="E28" s="173"/>
      <c r="F28" s="173"/>
      <c r="G28" s="173"/>
      <c r="I28" s="172"/>
      <c r="J28" s="172"/>
      <c r="K28" s="172"/>
      <c r="M28" s="165"/>
      <c r="N28" s="165"/>
      <c r="O28" s="165"/>
    </row>
    <row r="29" spans="1:15" x14ac:dyDescent="0.35">
      <c r="A29" s="177"/>
      <c r="B29" s="177"/>
      <c r="C29" s="177"/>
      <c r="E29" s="173"/>
      <c r="F29" s="173"/>
      <c r="G29" s="173"/>
      <c r="I29" s="172"/>
      <c r="J29" s="172"/>
      <c r="K29" s="172"/>
      <c r="M29" s="165"/>
      <c r="N29" s="165"/>
      <c r="O29" s="165"/>
    </row>
    <row r="30" spans="1:15" x14ac:dyDescent="0.35">
      <c r="A30" s="177"/>
      <c r="B30" s="177"/>
      <c r="C30" s="177"/>
      <c r="E30" s="173"/>
      <c r="F30" s="173"/>
      <c r="G30" s="173"/>
      <c r="I30" s="172"/>
      <c r="J30" s="172"/>
      <c r="K30" s="172"/>
      <c r="M30" s="165"/>
      <c r="N30" s="165"/>
      <c r="O30" s="165"/>
    </row>
    <row r="31" spans="1:15" x14ac:dyDescent="0.35">
      <c r="A31" s="3"/>
      <c r="B31" s="3"/>
      <c r="C31" s="3"/>
      <c r="E31" s="10"/>
      <c r="F31" s="10"/>
      <c r="G31" s="10"/>
      <c r="I31" s="17"/>
      <c r="J31" s="17"/>
      <c r="K31" s="17"/>
      <c r="M31" s="24"/>
      <c r="N31" s="24"/>
      <c r="O31" s="24"/>
    </row>
    <row r="32" spans="1:15" x14ac:dyDescent="0.35">
      <c r="A32" s="3"/>
      <c r="B32" s="3"/>
      <c r="C32" s="3"/>
      <c r="E32" s="10"/>
      <c r="F32" s="10"/>
      <c r="G32" s="10"/>
      <c r="I32" s="17"/>
      <c r="J32" s="17"/>
      <c r="K32" s="17"/>
      <c r="M32" s="24"/>
      <c r="N32" s="24"/>
      <c r="O32" s="24"/>
    </row>
    <row r="34" spans="1:15" ht="28" customHeight="1" x14ac:dyDescent="0.35">
      <c r="A34" s="169" t="s">
        <v>1050</v>
      </c>
      <c r="B34" s="169"/>
      <c r="C34" s="169"/>
      <c r="D34" s="169"/>
      <c r="E34" s="169"/>
      <c r="F34" s="169"/>
      <c r="G34" s="169"/>
      <c r="H34" s="169"/>
      <c r="I34" s="169"/>
      <c r="J34" s="169"/>
      <c r="K34" s="169"/>
      <c r="L34" s="169"/>
      <c r="M34" s="169"/>
      <c r="N34" s="169"/>
      <c r="O34" s="169"/>
    </row>
  </sheetData>
  <mergeCells count="39">
    <mergeCell ref="E12:G12"/>
    <mergeCell ref="M4:O4"/>
    <mergeCell ref="M5:O6"/>
    <mergeCell ref="M8:O8"/>
    <mergeCell ref="M12:O12"/>
    <mergeCell ref="I12:K12"/>
    <mergeCell ref="A1:O1"/>
    <mergeCell ref="A2:O2"/>
    <mergeCell ref="A4:C4"/>
    <mergeCell ref="A5:C6"/>
    <mergeCell ref="A8:C8"/>
    <mergeCell ref="E4:G4"/>
    <mergeCell ref="E5:G6"/>
    <mergeCell ref="E8:G8"/>
    <mergeCell ref="I4:K4"/>
    <mergeCell ref="I5:K6"/>
    <mergeCell ref="I8:K8"/>
    <mergeCell ref="A13:C15"/>
    <mergeCell ref="A17:C17"/>
    <mergeCell ref="A19:C19"/>
    <mergeCell ref="A25:C25"/>
    <mergeCell ref="A12:C12"/>
    <mergeCell ref="A34:O34"/>
    <mergeCell ref="I19:K19"/>
    <mergeCell ref="I25:K25"/>
    <mergeCell ref="I27:K30"/>
    <mergeCell ref="E27:G30"/>
    <mergeCell ref="M19:O19"/>
    <mergeCell ref="E19:G19"/>
    <mergeCell ref="E25:G25"/>
    <mergeCell ref="A27:C30"/>
    <mergeCell ref="E13:G15"/>
    <mergeCell ref="I13:K15"/>
    <mergeCell ref="M13:O15"/>
    <mergeCell ref="M25:O25"/>
    <mergeCell ref="M27:O30"/>
    <mergeCell ref="M17:O17"/>
    <mergeCell ref="E17:G17"/>
    <mergeCell ref="I17:K1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D9760-DA09-48E7-A40B-BAD76534A20A}">
  <sheetPr>
    <tabColor rgb="FFB77CFF"/>
  </sheetPr>
  <dimension ref="A1:L142"/>
  <sheetViews>
    <sheetView workbookViewId="0">
      <selection activeCell="A2" sqref="A2:U2"/>
    </sheetView>
  </sheetViews>
  <sheetFormatPr baseColWidth="10" defaultRowHeight="14.5" x14ac:dyDescent="0.35"/>
  <cols>
    <col min="1" max="1" width="12.36328125" customWidth="1"/>
    <col min="2" max="2" width="30.90625" customWidth="1"/>
    <col min="3" max="3" width="18.1796875" customWidth="1"/>
    <col min="4" max="4" width="26.36328125" customWidth="1"/>
    <col min="5" max="5" width="36.36328125" customWidth="1"/>
    <col min="6" max="6" width="16.36328125" customWidth="1"/>
    <col min="7" max="7" width="28.1796875" customWidth="1"/>
    <col min="8" max="9" width="19.08984375" customWidth="1"/>
    <col min="10" max="10" width="17.26953125" customWidth="1"/>
    <col min="11" max="11" width="32.7265625" customWidth="1"/>
    <col min="12" max="12" width="15.453125" customWidth="1"/>
  </cols>
  <sheetData>
    <row r="1" spans="1:12" ht="23.5" x14ac:dyDescent="0.55000000000000004">
      <c r="A1" s="200" t="s">
        <v>1390</v>
      </c>
      <c r="B1" s="200"/>
      <c r="C1" s="200"/>
      <c r="D1" s="200"/>
      <c r="E1" s="200"/>
      <c r="F1" s="200"/>
      <c r="G1" s="200"/>
      <c r="H1" s="200"/>
      <c r="I1" s="200"/>
      <c r="J1" s="200"/>
      <c r="K1" s="200"/>
      <c r="L1" s="200"/>
    </row>
    <row r="2" spans="1:12" x14ac:dyDescent="0.35">
      <c r="A2" s="201" t="s">
        <v>1391</v>
      </c>
      <c r="B2" s="201"/>
      <c r="C2" s="201"/>
      <c r="D2" s="201"/>
      <c r="E2" s="201"/>
      <c r="F2" s="201"/>
      <c r="G2" s="201"/>
      <c r="H2" s="201"/>
      <c r="I2" s="201"/>
      <c r="J2" s="201"/>
      <c r="K2" s="201"/>
      <c r="L2" s="201"/>
    </row>
    <row r="4" spans="1:12" x14ac:dyDescent="0.35">
      <c r="A4" s="83" t="s">
        <v>1392</v>
      </c>
      <c r="B4" s="83" t="s">
        <v>1393</v>
      </c>
      <c r="C4" s="83" t="s">
        <v>1394</v>
      </c>
      <c r="D4" s="83" t="s">
        <v>1395</v>
      </c>
      <c r="E4" s="83" t="s">
        <v>1396</v>
      </c>
      <c r="F4" s="83" t="s">
        <v>1349</v>
      </c>
      <c r="G4" s="83" t="s">
        <v>1350</v>
      </c>
      <c r="H4" s="83" t="s">
        <v>1351</v>
      </c>
      <c r="I4" s="83" t="s">
        <v>1352</v>
      </c>
      <c r="J4" s="83" t="s">
        <v>1353</v>
      </c>
      <c r="K4" s="83" t="s">
        <v>695</v>
      </c>
      <c r="L4" s="83" t="s">
        <v>700</v>
      </c>
    </row>
    <row r="5" spans="1:12" ht="87" x14ac:dyDescent="0.35">
      <c r="A5" s="84" t="s">
        <v>1397</v>
      </c>
      <c r="B5" t="s">
        <v>85</v>
      </c>
      <c r="C5" t="s">
        <v>84</v>
      </c>
      <c r="D5" s="1" t="s">
        <v>1398</v>
      </c>
      <c r="E5" s="1" t="s">
        <v>1714</v>
      </c>
      <c r="F5" s="84" t="s">
        <v>1355</v>
      </c>
      <c r="G5" s="1" t="s">
        <v>1400</v>
      </c>
      <c r="H5" s="84" t="s">
        <v>372</v>
      </c>
      <c r="I5" s="84" t="s">
        <v>1359</v>
      </c>
      <c r="J5" s="84"/>
      <c r="K5" s="1" t="s">
        <v>1401</v>
      </c>
      <c r="L5" s="84" t="s">
        <v>1402</v>
      </c>
    </row>
    <row r="6" spans="1:12" ht="145" x14ac:dyDescent="0.35">
      <c r="A6" s="84" t="s">
        <v>1403</v>
      </c>
      <c r="B6" t="s">
        <v>88</v>
      </c>
      <c r="C6" t="s">
        <v>84</v>
      </c>
      <c r="D6" s="1" t="s">
        <v>1404</v>
      </c>
      <c r="E6" s="1" t="s">
        <v>1715</v>
      </c>
      <c r="F6" s="84" t="s">
        <v>1354</v>
      </c>
      <c r="G6" s="1" t="s">
        <v>1405</v>
      </c>
      <c r="H6" s="84" t="s">
        <v>1354</v>
      </c>
      <c r="I6" s="84" t="s">
        <v>1360</v>
      </c>
      <c r="J6" s="84"/>
      <c r="K6" s="1" t="s">
        <v>1406</v>
      </c>
      <c r="L6" s="84" t="s">
        <v>1402</v>
      </c>
    </row>
    <row r="7" spans="1:12" ht="29" x14ac:dyDescent="0.35">
      <c r="A7" s="84" t="s">
        <v>1407</v>
      </c>
      <c r="B7" t="s">
        <v>89</v>
      </c>
      <c r="C7" t="s">
        <v>84</v>
      </c>
      <c r="D7" s="1" t="s">
        <v>1408</v>
      </c>
      <c r="E7" s="1" t="s">
        <v>1409</v>
      </c>
      <c r="F7" s="84" t="s">
        <v>1354</v>
      </c>
      <c r="G7" s="1" t="s">
        <v>1354</v>
      </c>
      <c r="H7" s="84" t="s">
        <v>1354</v>
      </c>
      <c r="I7" s="84" t="s">
        <v>1358</v>
      </c>
      <c r="J7" s="84"/>
      <c r="K7" s="1" t="s">
        <v>1410</v>
      </c>
      <c r="L7" s="84" t="s">
        <v>1402</v>
      </c>
    </row>
    <row r="8" spans="1:12" x14ac:dyDescent="0.35">
      <c r="A8" s="84" t="s">
        <v>1411</v>
      </c>
      <c r="B8" t="s">
        <v>1412</v>
      </c>
      <c r="C8" t="s">
        <v>84</v>
      </c>
      <c r="D8" s="1" t="s">
        <v>1413</v>
      </c>
      <c r="E8" s="1" t="s">
        <v>1414</v>
      </c>
      <c r="F8" s="84" t="s">
        <v>1354</v>
      </c>
      <c r="G8" s="1" t="s">
        <v>1354</v>
      </c>
      <c r="H8" s="84" t="s">
        <v>1354</v>
      </c>
      <c r="I8" s="84" t="s">
        <v>1358</v>
      </c>
      <c r="J8" s="84"/>
      <c r="K8" s="1" t="s">
        <v>1415</v>
      </c>
      <c r="L8" s="84" t="s">
        <v>1402</v>
      </c>
    </row>
    <row r="9" spans="1:12" ht="29" x14ac:dyDescent="0.35">
      <c r="A9" s="84" t="s">
        <v>1416</v>
      </c>
      <c r="B9" t="s">
        <v>1417</v>
      </c>
      <c r="C9" t="s">
        <v>84</v>
      </c>
      <c r="D9" s="1" t="s">
        <v>1418</v>
      </c>
      <c r="E9" s="1" t="s">
        <v>1414</v>
      </c>
      <c r="F9" s="84" t="s">
        <v>1354</v>
      </c>
      <c r="G9" s="1" t="s">
        <v>1354</v>
      </c>
      <c r="H9" s="84" t="s">
        <v>1354</v>
      </c>
      <c r="I9" s="84" t="s">
        <v>1358</v>
      </c>
      <c r="J9" s="84"/>
      <c r="K9" s="1" t="s">
        <v>1415</v>
      </c>
      <c r="L9" s="84" t="s">
        <v>1402</v>
      </c>
    </row>
    <row r="10" spans="1:12" x14ac:dyDescent="0.35">
      <c r="A10" s="84" t="s">
        <v>1419</v>
      </c>
      <c r="B10" t="s">
        <v>346</v>
      </c>
      <c r="C10" t="s">
        <v>84</v>
      </c>
      <c r="D10" s="1" t="s">
        <v>97</v>
      </c>
      <c r="E10" s="1"/>
      <c r="F10" s="84" t="s">
        <v>1354</v>
      </c>
      <c r="G10" s="1" t="s">
        <v>1354</v>
      </c>
      <c r="H10" s="84" t="s">
        <v>1354</v>
      </c>
      <c r="I10" s="84" t="s">
        <v>1358</v>
      </c>
      <c r="J10" s="84"/>
      <c r="K10" s="1" t="s">
        <v>1420</v>
      </c>
      <c r="L10" s="84" t="s">
        <v>1402</v>
      </c>
    </row>
    <row r="11" spans="1:12" ht="29" x14ac:dyDescent="0.35">
      <c r="A11" s="84" t="s">
        <v>1421</v>
      </c>
      <c r="B11" t="s">
        <v>28</v>
      </c>
      <c r="C11" t="s">
        <v>84</v>
      </c>
      <c r="D11" s="1" t="s">
        <v>1422</v>
      </c>
      <c r="E11" s="1" t="s">
        <v>1423</v>
      </c>
      <c r="F11" s="84" t="s">
        <v>1354</v>
      </c>
      <c r="G11" s="1" t="s">
        <v>1354</v>
      </c>
      <c r="H11" s="84" t="s">
        <v>1354</v>
      </c>
      <c r="I11" s="84" t="s">
        <v>1358</v>
      </c>
      <c r="J11" s="84"/>
      <c r="K11" s="1" t="s">
        <v>1424</v>
      </c>
      <c r="L11" s="84" t="s">
        <v>1402</v>
      </c>
    </row>
    <row r="12" spans="1:12" x14ac:dyDescent="0.35">
      <c r="A12" s="84" t="s">
        <v>1425</v>
      </c>
      <c r="B12" t="s">
        <v>1426</v>
      </c>
      <c r="C12" t="s">
        <v>84</v>
      </c>
      <c r="D12" s="1" t="s">
        <v>1408</v>
      </c>
      <c r="E12" s="1" t="s">
        <v>1414</v>
      </c>
      <c r="F12" s="84" t="s">
        <v>1354</v>
      </c>
      <c r="G12" s="1" t="s">
        <v>1354</v>
      </c>
      <c r="H12" s="84" t="s">
        <v>1354</v>
      </c>
      <c r="I12" s="84" t="s">
        <v>1358</v>
      </c>
      <c r="J12" s="84"/>
      <c r="K12" s="1" t="s">
        <v>1427</v>
      </c>
      <c r="L12" s="84" t="s">
        <v>1402</v>
      </c>
    </row>
    <row r="13" spans="1:12" ht="29" x14ac:dyDescent="0.35">
      <c r="A13" s="84" t="s">
        <v>1428</v>
      </c>
      <c r="B13" t="s">
        <v>30</v>
      </c>
      <c r="C13" t="s">
        <v>84</v>
      </c>
      <c r="D13" s="1" t="s">
        <v>1429</v>
      </c>
      <c r="E13" s="1"/>
      <c r="F13" s="84" t="s">
        <v>1354</v>
      </c>
      <c r="G13" s="1" t="s">
        <v>1354</v>
      </c>
      <c r="H13" s="84" t="s">
        <v>1354</v>
      </c>
      <c r="I13" s="84" t="s">
        <v>1358</v>
      </c>
      <c r="J13" s="84"/>
      <c r="K13" s="1" t="s">
        <v>1430</v>
      </c>
      <c r="L13" s="84" t="s">
        <v>1402</v>
      </c>
    </row>
    <row r="14" spans="1:12" ht="43.5" x14ac:dyDescent="0.35">
      <c r="A14" s="84" t="s">
        <v>1431</v>
      </c>
      <c r="B14" t="s">
        <v>91</v>
      </c>
      <c r="C14" t="s">
        <v>84</v>
      </c>
      <c r="D14" s="1" t="s">
        <v>1432</v>
      </c>
      <c r="E14" s="1" t="s">
        <v>1716</v>
      </c>
      <c r="F14" s="84" t="s">
        <v>1354</v>
      </c>
      <c r="G14" s="1" t="s">
        <v>1354</v>
      </c>
      <c r="H14" s="84" t="s">
        <v>1354</v>
      </c>
      <c r="I14" s="84" t="s">
        <v>1358</v>
      </c>
      <c r="J14" s="84"/>
      <c r="K14" s="1" t="s">
        <v>1433</v>
      </c>
      <c r="L14" s="84" t="s">
        <v>1402</v>
      </c>
    </row>
    <row r="15" spans="1:12" ht="72.5" x14ac:dyDescent="0.35">
      <c r="A15" s="84" t="s">
        <v>1434</v>
      </c>
      <c r="B15" t="s">
        <v>1435</v>
      </c>
      <c r="C15" t="s">
        <v>84</v>
      </c>
      <c r="D15" s="1" t="s">
        <v>1436</v>
      </c>
      <c r="E15" s="1" t="s">
        <v>1717</v>
      </c>
      <c r="F15" s="84" t="s">
        <v>1354</v>
      </c>
      <c r="G15" s="1" t="s">
        <v>1354</v>
      </c>
      <c r="H15" s="84" t="s">
        <v>1354</v>
      </c>
      <c r="I15" s="84" t="s">
        <v>1358</v>
      </c>
      <c r="J15" s="84"/>
      <c r="K15" s="1" t="s">
        <v>1437</v>
      </c>
      <c r="L15" s="84" t="s">
        <v>1402</v>
      </c>
    </row>
    <row r="16" spans="1:12" x14ac:dyDescent="0.35">
      <c r="A16" s="84" t="s">
        <v>1438</v>
      </c>
      <c r="B16" t="s">
        <v>1439</v>
      </c>
      <c r="C16" t="s">
        <v>84</v>
      </c>
      <c r="D16" s="1" t="s">
        <v>1440</v>
      </c>
      <c r="E16" s="1" t="s">
        <v>1441</v>
      </c>
      <c r="F16" s="84" t="s">
        <v>1354</v>
      </c>
      <c r="G16" s="1" t="s">
        <v>1354</v>
      </c>
      <c r="H16" s="84" t="s">
        <v>1354</v>
      </c>
      <c r="I16" s="84" t="s">
        <v>1358</v>
      </c>
      <c r="J16" s="84"/>
      <c r="K16" s="1" t="s">
        <v>1415</v>
      </c>
      <c r="L16" s="84" t="s">
        <v>1402</v>
      </c>
    </row>
    <row r="17" spans="1:12" x14ac:dyDescent="0.35">
      <c r="A17" s="84" t="s">
        <v>1442</v>
      </c>
      <c r="B17" t="s">
        <v>1443</v>
      </c>
      <c r="C17" t="s">
        <v>84</v>
      </c>
      <c r="D17" s="1" t="s">
        <v>1444</v>
      </c>
      <c r="E17" s="1" t="s">
        <v>1384</v>
      </c>
      <c r="F17" s="84" t="s">
        <v>1354</v>
      </c>
      <c r="G17" s="1" t="s">
        <v>1354</v>
      </c>
      <c r="H17" s="84" t="s">
        <v>1354</v>
      </c>
      <c r="I17" s="84" t="s">
        <v>1358</v>
      </c>
      <c r="J17" s="84"/>
      <c r="K17" s="1" t="s">
        <v>1415</v>
      </c>
      <c r="L17" s="84" t="s">
        <v>1402</v>
      </c>
    </row>
    <row r="18" spans="1:12" ht="29" x14ac:dyDescent="0.35">
      <c r="A18" s="84" t="s">
        <v>1445</v>
      </c>
      <c r="B18" t="s">
        <v>1446</v>
      </c>
      <c r="C18" t="s">
        <v>84</v>
      </c>
      <c r="D18" s="1" t="s">
        <v>1447</v>
      </c>
      <c r="E18" s="1" t="s">
        <v>1381</v>
      </c>
      <c r="F18" s="84" t="s">
        <v>1354</v>
      </c>
      <c r="G18" s="1" t="s">
        <v>1354</v>
      </c>
      <c r="H18" s="84" t="s">
        <v>1354</v>
      </c>
      <c r="I18" s="84" t="s">
        <v>1358</v>
      </c>
      <c r="J18" s="84"/>
      <c r="K18" s="1" t="s">
        <v>1448</v>
      </c>
      <c r="L18" s="84" t="s">
        <v>1402</v>
      </c>
    </row>
    <row r="19" spans="1:12" ht="43.5" x14ac:dyDescent="0.35">
      <c r="A19" s="84" t="s">
        <v>1449</v>
      </c>
      <c r="B19" t="s">
        <v>1450</v>
      </c>
      <c r="C19" t="s">
        <v>84</v>
      </c>
      <c r="D19" s="1" t="s">
        <v>1447</v>
      </c>
      <c r="E19" s="1" t="s">
        <v>1718</v>
      </c>
      <c r="F19" s="84" t="s">
        <v>1354</v>
      </c>
      <c r="G19" s="1" t="s">
        <v>1354</v>
      </c>
      <c r="H19" s="84" t="s">
        <v>1354</v>
      </c>
      <c r="I19" s="84" t="s">
        <v>1358</v>
      </c>
      <c r="J19" s="84"/>
      <c r="K19" s="1" t="s">
        <v>1437</v>
      </c>
      <c r="L19" s="84" t="s">
        <v>1402</v>
      </c>
    </row>
    <row r="20" spans="1:12" ht="29" x14ac:dyDescent="0.35">
      <c r="A20" s="84" t="s">
        <v>1451</v>
      </c>
      <c r="B20" t="s">
        <v>1452</v>
      </c>
      <c r="C20" t="s">
        <v>84</v>
      </c>
      <c r="D20" s="1" t="s">
        <v>1130</v>
      </c>
      <c r="E20" s="1" t="s">
        <v>1130</v>
      </c>
      <c r="F20" s="84" t="s">
        <v>1354</v>
      </c>
      <c r="G20" s="1" t="s">
        <v>1354</v>
      </c>
      <c r="H20" s="84" t="s">
        <v>1354</v>
      </c>
      <c r="I20" s="84" t="s">
        <v>1358</v>
      </c>
      <c r="J20" s="84"/>
      <c r="K20" s="1" t="s">
        <v>1453</v>
      </c>
      <c r="L20" s="84" t="s">
        <v>1402</v>
      </c>
    </row>
    <row r="21" spans="1:12" ht="87" x14ac:dyDescent="0.35">
      <c r="A21" s="84" t="s">
        <v>1454</v>
      </c>
      <c r="B21" t="s">
        <v>1455</v>
      </c>
      <c r="C21" t="s">
        <v>84</v>
      </c>
      <c r="D21" s="1" t="s">
        <v>1382</v>
      </c>
      <c r="E21" s="1" t="s">
        <v>1719</v>
      </c>
      <c r="F21" s="84" t="s">
        <v>1354</v>
      </c>
      <c r="G21" s="1" t="s">
        <v>1354</v>
      </c>
      <c r="H21" s="84" t="s">
        <v>1354</v>
      </c>
      <c r="I21" s="84" t="s">
        <v>1358</v>
      </c>
      <c r="J21" s="84"/>
      <c r="K21" s="1" t="s">
        <v>1456</v>
      </c>
      <c r="L21" s="84" t="s">
        <v>1402</v>
      </c>
    </row>
    <row r="22" spans="1:12" ht="72.5" x14ac:dyDescent="0.35">
      <c r="A22" s="84" t="s">
        <v>1457</v>
      </c>
      <c r="B22" t="s">
        <v>1458</v>
      </c>
      <c r="C22" t="s">
        <v>84</v>
      </c>
      <c r="D22" s="1" t="s">
        <v>1382</v>
      </c>
      <c r="E22" s="1" t="s">
        <v>1720</v>
      </c>
      <c r="F22" s="84" t="s">
        <v>1354</v>
      </c>
      <c r="G22" s="1" t="s">
        <v>1354</v>
      </c>
      <c r="H22" s="84" t="s">
        <v>1354</v>
      </c>
      <c r="I22" s="84" t="s">
        <v>1358</v>
      </c>
      <c r="J22" s="84"/>
      <c r="K22" s="1" t="s">
        <v>1456</v>
      </c>
      <c r="L22" s="84" t="s">
        <v>1402</v>
      </c>
    </row>
    <row r="23" spans="1:12" x14ac:dyDescent="0.35">
      <c r="A23" s="84" t="s">
        <v>1459</v>
      </c>
      <c r="B23" t="s">
        <v>121</v>
      </c>
      <c r="C23" t="s">
        <v>84</v>
      </c>
      <c r="D23" s="1" t="s">
        <v>1444</v>
      </c>
      <c r="E23" s="1" t="s">
        <v>1384</v>
      </c>
      <c r="F23" s="84" t="s">
        <v>1354</v>
      </c>
      <c r="G23" s="1" t="s">
        <v>1354</v>
      </c>
      <c r="H23" s="84" t="s">
        <v>1354</v>
      </c>
      <c r="I23" s="84" t="s">
        <v>1358</v>
      </c>
      <c r="J23" s="84"/>
      <c r="K23" s="1" t="s">
        <v>1460</v>
      </c>
      <c r="L23" s="84" t="s">
        <v>1402</v>
      </c>
    </row>
    <row r="24" spans="1:12" ht="29" x14ac:dyDescent="0.35">
      <c r="A24" s="84" t="s">
        <v>1461</v>
      </c>
      <c r="B24" t="s">
        <v>132</v>
      </c>
      <c r="C24" t="s">
        <v>84</v>
      </c>
      <c r="D24" s="1" t="s">
        <v>1404</v>
      </c>
      <c r="E24" s="1" t="s">
        <v>1721</v>
      </c>
      <c r="F24" s="84" t="s">
        <v>1354</v>
      </c>
      <c r="G24" s="1" t="s">
        <v>1354</v>
      </c>
      <c r="H24" s="84" t="s">
        <v>1354</v>
      </c>
      <c r="I24" s="84" t="s">
        <v>1358</v>
      </c>
      <c r="J24" s="84"/>
      <c r="K24" s="1" t="s">
        <v>1460</v>
      </c>
      <c r="L24" s="84" t="s">
        <v>1402</v>
      </c>
    </row>
    <row r="25" spans="1:12" x14ac:dyDescent="0.35">
      <c r="A25" s="84" t="s">
        <v>1462</v>
      </c>
      <c r="B25" t="s">
        <v>139</v>
      </c>
      <c r="C25" t="s">
        <v>84</v>
      </c>
      <c r="D25" s="1" t="s">
        <v>1436</v>
      </c>
      <c r="E25" s="1" t="s">
        <v>1386</v>
      </c>
      <c r="F25" s="84" t="s">
        <v>1354</v>
      </c>
      <c r="G25" s="1" t="s">
        <v>1354</v>
      </c>
      <c r="H25" s="84" t="s">
        <v>1354</v>
      </c>
      <c r="I25" s="84" t="s">
        <v>1358</v>
      </c>
      <c r="J25" s="84"/>
      <c r="K25" s="1" t="s">
        <v>1460</v>
      </c>
      <c r="L25" s="84" t="s">
        <v>1402</v>
      </c>
    </row>
    <row r="26" spans="1:12" ht="43.5" x14ac:dyDescent="0.35">
      <c r="A26" s="84" t="s">
        <v>1463</v>
      </c>
      <c r="B26" t="s">
        <v>143</v>
      </c>
      <c r="C26" t="s">
        <v>84</v>
      </c>
      <c r="D26" s="1" t="s">
        <v>1382</v>
      </c>
      <c r="E26" s="1" t="s">
        <v>1722</v>
      </c>
      <c r="F26" s="84" t="s">
        <v>1354</v>
      </c>
      <c r="G26" s="1" t="s">
        <v>1354</v>
      </c>
      <c r="H26" s="84" t="s">
        <v>1354</v>
      </c>
      <c r="I26" s="84" t="s">
        <v>1358</v>
      </c>
      <c r="J26" s="84"/>
      <c r="K26" s="1" t="s">
        <v>1460</v>
      </c>
      <c r="L26" s="84" t="s">
        <v>1402</v>
      </c>
    </row>
    <row r="27" spans="1:12" x14ac:dyDescent="0.35">
      <c r="A27" s="84" t="s">
        <v>1464</v>
      </c>
      <c r="B27" t="s">
        <v>239</v>
      </c>
      <c r="C27" t="s">
        <v>84</v>
      </c>
      <c r="D27" s="1" t="s">
        <v>97</v>
      </c>
      <c r="E27" s="1"/>
      <c r="F27" s="84" t="s">
        <v>1354</v>
      </c>
      <c r="G27" s="1" t="s">
        <v>1354</v>
      </c>
      <c r="H27" s="84" t="s">
        <v>1354</v>
      </c>
      <c r="I27" s="84" t="s">
        <v>1358</v>
      </c>
      <c r="J27" s="84"/>
      <c r="K27" s="1" t="s">
        <v>1465</v>
      </c>
      <c r="L27" s="84" t="s">
        <v>1402</v>
      </c>
    </row>
    <row r="28" spans="1:12" ht="29" x14ac:dyDescent="0.35">
      <c r="A28" s="84" t="s">
        <v>1466</v>
      </c>
      <c r="B28" t="s">
        <v>196</v>
      </c>
      <c r="C28" t="s">
        <v>84</v>
      </c>
      <c r="D28" s="1" t="s">
        <v>1404</v>
      </c>
      <c r="E28" s="1" t="s">
        <v>1723</v>
      </c>
      <c r="F28" s="84" t="s">
        <v>1354</v>
      </c>
      <c r="G28" s="1" t="s">
        <v>1354</v>
      </c>
      <c r="H28" s="84" t="s">
        <v>1354</v>
      </c>
      <c r="I28" s="84" t="s">
        <v>1358</v>
      </c>
      <c r="J28" s="84"/>
      <c r="K28" s="1" t="s">
        <v>1460</v>
      </c>
      <c r="L28" s="84" t="s">
        <v>1402</v>
      </c>
    </row>
    <row r="29" spans="1:12" ht="43.5" x14ac:dyDescent="0.35">
      <c r="A29" s="84" t="s">
        <v>1467</v>
      </c>
      <c r="B29" t="s">
        <v>1468</v>
      </c>
      <c r="C29" t="s">
        <v>84</v>
      </c>
      <c r="D29" s="1" t="s">
        <v>1404</v>
      </c>
      <c r="E29" s="1" t="s">
        <v>1724</v>
      </c>
      <c r="F29" s="84" t="s">
        <v>1354</v>
      </c>
      <c r="G29" s="1" t="s">
        <v>1354</v>
      </c>
      <c r="H29" s="84" t="s">
        <v>1354</v>
      </c>
      <c r="I29" s="84" t="s">
        <v>1358</v>
      </c>
      <c r="J29" s="84"/>
      <c r="K29" s="1" t="s">
        <v>1460</v>
      </c>
      <c r="L29" s="84" t="s">
        <v>1402</v>
      </c>
    </row>
    <row r="30" spans="1:12" ht="43.5" x14ac:dyDescent="0.35">
      <c r="A30" s="84" t="s">
        <v>1469</v>
      </c>
      <c r="B30" t="s">
        <v>185</v>
      </c>
      <c r="C30" t="s">
        <v>84</v>
      </c>
      <c r="D30" s="1" t="s">
        <v>1404</v>
      </c>
      <c r="E30" s="1" t="s">
        <v>1725</v>
      </c>
      <c r="F30" s="84" t="s">
        <v>1354</v>
      </c>
      <c r="G30" s="1" t="s">
        <v>1354</v>
      </c>
      <c r="H30" s="84" t="s">
        <v>1354</v>
      </c>
      <c r="I30" s="84" t="s">
        <v>1358</v>
      </c>
      <c r="J30" s="84"/>
      <c r="K30" s="1" t="s">
        <v>1460</v>
      </c>
      <c r="L30" s="84" t="s">
        <v>1402</v>
      </c>
    </row>
    <row r="31" spans="1:12" x14ac:dyDescent="0.35">
      <c r="A31" s="84" t="s">
        <v>1470</v>
      </c>
      <c r="B31" t="s">
        <v>1471</v>
      </c>
      <c r="C31" t="s">
        <v>84</v>
      </c>
      <c r="D31" s="1" t="s">
        <v>1436</v>
      </c>
      <c r="E31" s="1"/>
      <c r="F31" s="84" t="s">
        <v>1354</v>
      </c>
      <c r="G31" s="1" t="s">
        <v>1354</v>
      </c>
      <c r="H31" s="84" t="s">
        <v>1354</v>
      </c>
      <c r="I31" s="84" t="s">
        <v>1358</v>
      </c>
      <c r="J31" s="84"/>
      <c r="K31" s="1" t="s">
        <v>1460</v>
      </c>
      <c r="L31" s="84" t="s">
        <v>1402</v>
      </c>
    </row>
    <row r="32" spans="1:12" x14ac:dyDescent="0.35">
      <c r="A32" s="84" t="s">
        <v>1472</v>
      </c>
      <c r="B32" t="s">
        <v>177</v>
      </c>
      <c r="C32" t="s">
        <v>84</v>
      </c>
      <c r="D32" s="1" t="s">
        <v>1447</v>
      </c>
      <c r="E32" s="1" t="s">
        <v>1381</v>
      </c>
      <c r="F32" s="84" t="s">
        <v>1354</v>
      </c>
      <c r="G32" s="1" t="s">
        <v>1354</v>
      </c>
      <c r="H32" s="84" t="s">
        <v>1354</v>
      </c>
      <c r="I32" s="84" t="s">
        <v>1358</v>
      </c>
      <c r="J32" s="84"/>
      <c r="K32" s="1" t="s">
        <v>1460</v>
      </c>
      <c r="L32" s="84" t="s">
        <v>1402</v>
      </c>
    </row>
    <row r="33" spans="1:12" x14ac:dyDescent="0.35">
      <c r="A33" s="84" t="s">
        <v>1473</v>
      </c>
      <c r="B33" t="s">
        <v>192</v>
      </c>
      <c r="C33" t="s">
        <v>84</v>
      </c>
      <c r="D33" s="1" t="s">
        <v>1474</v>
      </c>
      <c r="E33" s="1"/>
      <c r="F33" s="84" t="s">
        <v>1354</v>
      </c>
      <c r="G33" s="1" t="s">
        <v>1354</v>
      </c>
      <c r="H33" s="84" t="s">
        <v>1354</v>
      </c>
      <c r="I33" s="84" t="s">
        <v>1358</v>
      </c>
      <c r="J33" s="84"/>
      <c r="K33" s="1" t="s">
        <v>1460</v>
      </c>
      <c r="L33" s="84" t="s">
        <v>1402</v>
      </c>
    </row>
    <row r="34" spans="1:12" x14ac:dyDescent="0.35">
      <c r="A34" s="84" t="s">
        <v>1475</v>
      </c>
      <c r="B34" t="s">
        <v>1476</v>
      </c>
      <c r="C34" t="s">
        <v>84</v>
      </c>
      <c r="D34" s="1" t="s">
        <v>1474</v>
      </c>
      <c r="E34" s="1"/>
      <c r="F34" s="84" t="s">
        <v>1354</v>
      </c>
      <c r="G34" s="1" t="s">
        <v>1354</v>
      </c>
      <c r="H34" s="84" t="s">
        <v>1354</v>
      </c>
      <c r="I34" s="84" t="s">
        <v>1358</v>
      </c>
      <c r="J34" s="84"/>
      <c r="K34" s="1" t="s">
        <v>1477</v>
      </c>
      <c r="L34" s="84" t="s">
        <v>1402</v>
      </c>
    </row>
    <row r="35" spans="1:12" x14ac:dyDescent="0.35">
      <c r="A35" s="84" t="s">
        <v>1478</v>
      </c>
      <c r="B35" t="s">
        <v>1479</v>
      </c>
      <c r="C35" t="s">
        <v>84</v>
      </c>
      <c r="D35" s="1" t="s">
        <v>1474</v>
      </c>
      <c r="E35" s="1"/>
      <c r="F35" s="84" t="s">
        <v>1354</v>
      </c>
      <c r="G35" s="1" t="s">
        <v>1354</v>
      </c>
      <c r="H35" s="84" t="s">
        <v>1354</v>
      </c>
      <c r="I35" s="84" t="s">
        <v>1358</v>
      </c>
      <c r="J35" s="84"/>
      <c r="K35" s="1" t="s">
        <v>1477</v>
      </c>
      <c r="L35" s="84" t="s">
        <v>1402</v>
      </c>
    </row>
    <row r="36" spans="1:12" ht="72.5" x14ac:dyDescent="0.35">
      <c r="A36" s="84" t="s">
        <v>1480</v>
      </c>
      <c r="B36" t="s">
        <v>1481</v>
      </c>
      <c r="C36" t="s">
        <v>84</v>
      </c>
      <c r="D36" s="1" t="s">
        <v>1436</v>
      </c>
      <c r="E36" s="1" t="s">
        <v>1726</v>
      </c>
      <c r="F36" s="84" t="s">
        <v>1354</v>
      </c>
      <c r="G36" s="1" t="s">
        <v>1354</v>
      </c>
      <c r="H36" s="84" t="s">
        <v>1354</v>
      </c>
      <c r="I36" s="84" t="s">
        <v>1358</v>
      </c>
      <c r="J36" s="84"/>
      <c r="K36" s="1" t="s">
        <v>1482</v>
      </c>
      <c r="L36" s="84" t="s">
        <v>1402</v>
      </c>
    </row>
    <row r="37" spans="1:12" x14ac:dyDescent="0.35">
      <c r="A37" s="84" t="s">
        <v>1483</v>
      </c>
      <c r="B37" t="s">
        <v>302</v>
      </c>
      <c r="C37" t="s">
        <v>84</v>
      </c>
      <c r="D37" s="1" t="s">
        <v>1436</v>
      </c>
      <c r="E37" s="1"/>
      <c r="F37" s="84" t="s">
        <v>1354</v>
      </c>
      <c r="G37" s="1" t="s">
        <v>1354</v>
      </c>
      <c r="H37" s="84" t="s">
        <v>1354</v>
      </c>
      <c r="I37" s="84" t="s">
        <v>1358</v>
      </c>
      <c r="J37" s="84"/>
      <c r="K37" s="1" t="s">
        <v>1484</v>
      </c>
      <c r="L37" s="84" t="s">
        <v>1402</v>
      </c>
    </row>
    <row r="38" spans="1:12" ht="29" x14ac:dyDescent="0.35">
      <c r="A38" s="84" t="s">
        <v>1485</v>
      </c>
      <c r="B38" t="s">
        <v>202</v>
      </c>
      <c r="C38" t="s">
        <v>84</v>
      </c>
      <c r="D38" s="1" t="s">
        <v>1418</v>
      </c>
      <c r="E38" s="1" t="s">
        <v>1414</v>
      </c>
      <c r="F38" s="84" t="s">
        <v>1354</v>
      </c>
      <c r="G38" s="1" t="s">
        <v>1354</v>
      </c>
      <c r="H38" s="84" t="s">
        <v>1354</v>
      </c>
      <c r="I38" s="84" t="s">
        <v>1358</v>
      </c>
      <c r="J38" s="84"/>
      <c r="K38" s="1" t="s">
        <v>1486</v>
      </c>
      <c r="L38" s="84" t="s">
        <v>1402</v>
      </c>
    </row>
    <row r="39" spans="1:12" ht="29" x14ac:dyDescent="0.35">
      <c r="A39" s="84" t="s">
        <v>1487</v>
      </c>
      <c r="B39" t="s">
        <v>1488</v>
      </c>
      <c r="C39" t="s">
        <v>84</v>
      </c>
      <c r="D39" s="1" t="s">
        <v>1418</v>
      </c>
      <c r="E39" s="1" t="s">
        <v>1414</v>
      </c>
      <c r="F39" s="84" t="s">
        <v>1354</v>
      </c>
      <c r="G39" s="1" t="s">
        <v>1354</v>
      </c>
      <c r="H39" s="84" t="s">
        <v>1354</v>
      </c>
      <c r="I39" s="84" t="s">
        <v>1358</v>
      </c>
      <c r="J39" s="84"/>
      <c r="K39" s="1" t="s">
        <v>1415</v>
      </c>
      <c r="L39" s="84" t="s">
        <v>1402</v>
      </c>
    </row>
    <row r="40" spans="1:12" ht="29" x14ac:dyDescent="0.35">
      <c r="A40" s="84" t="s">
        <v>1489</v>
      </c>
      <c r="B40" t="s">
        <v>1490</v>
      </c>
      <c r="C40" t="s">
        <v>87</v>
      </c>
      <c r="D40" s="1" t="s">
        <v>1398</v>
      </c>
      <c r="E40" s="1" t="s">
        <v>1727</v>
      </c>
      <c r="F40" s="84" t="s">
        <v>1354</v>
      </c>
      <c r="G40" s="1" t="s">
        <v>1354</v>
      </c>
      <c r="H40" s="84" t="s">
        <v>1354</v>
      </c>
      <c r="I40" s="84" t="s">
        <v>1358</v>
      </c>
      <c r="J40" s="84"/>
      <c r="K40" s="1" t="s">
        <v>1415</v>
      </c>
      <c r="L40" s="84" t="s">
        <v>1402</v>
      </c>
    </row>
    <row r="41" spans="1:12" x14ac:dyDescent="0.35">
      <c r="A41" s="84" t="s">
        <v>1491</v>
      </c>
      <c r="B41" t="s">
        <v>1492</v>
      </c>
      <c r="C41" t="s">
        <v>87</v>
      </c>
      <c r="D41" s="1" t="s">
        <v>1440</v>
      </c>
      <c r="E41" s="1" t="s">
        <v>1441</v>
      </c>
      <c r="F41" s="84" t="s">
        <v>1354</v>
      </c>
      <c r="G41" s="1" t="s">
        <v>1354</v>
      </c>
      <c r="H41" s="84" t="s">
        <v>1354</v>
      </c>
      <c r="I41" s="84" t="s">
        <v>1358</v>
      </c>
      <c r="J41" s="84"/>
      <c r="K41" s="1" t="s">
        <v>1415</v>
      </c>
      <c r="L41" s="84" t="s">
        <v>1402</v>
      </c>
    </row>
    <row r="42" spans="1:12" ht="29" x14ac:dyDescent="0.35">
      <c r="A42" s="84" t="s">
        <v>1493</v>
      </c>
      <c r="B42" t="s">
        <v>1494</v>
      </c>
      <c r="C42" t="s">
        <v>87</v>
      </c>
      <c r="D42" s="1" t="s">
        <v>1418</v>
      </c>
      <c r="E42" s="1" t="s">
        <v>1414</v>
      </c>
      <c r="F42" s="84" t="s">
        <v>1354</v>
      </c>
      <c r="G42" s="1" t="s">
        <v>1354</v>
      </c>
      <c r="H42" s="84" t="s">
        <v>1354</v>
      </c>
      <c r="I42" s="84" t="s">
        <v>1358</v>
      </c>
      <c r="J42" s="84"/>
      <c r="K42" s="1" t="s">
        <v>1415</v>
      </c>
      <c r="L42" s="84" t="s">
        <v>1402</v>
      </c>
    </row>
    <row r="43" spans="1:12" ht="29" x14ac:dyDescent="0.35">
      <c r="A43" s="84" t="s">
        <v>1495</v>
      </c>
      <c r="B43" t="s">
        <v>1496</v>
      </c>
      <c r="C43" t="s">
        <v>87</v>
      </c>
      <c r="D43" s="1" t="s">
        <v>1418</v>
      </c>
      <c r="E43" s="1" t="s">
        <v>1414</v>
      </c>
      <c r="F43" s="84" t="s">
        <v>1354</v>
      </c>
      <c r="G43" s="1" t="s">
        <v>1354</v>
      </c>
      <c r="H43" s="84" t="s">
        <v>1354</v>
      </c>
      <c r="I43" s="84" t="s">
        <v>1358</v>
      </c>
      <c r="J43" s="84"/>
      <c r="K43" s="1" t="s">
        <v>1415</v>
      </c>
      <c r="L43" s="84" t="s">
        <v>1402</v>
      </c>
    </row>
    <row r="44" spans="1:12" x14ac:dyDescent="0.35">
      <c r="A44" s="84" t="s">
        <v>1497</v>
      </c>
      <c r="B44" t="s">
        <v>1498</v>
      </c>
      <c r="C44" t="s">
        <v>87</v>
      </c>
      <c r="D44" s="1" t="s">
        <v>1474</v>
      </c>
      <c r="E44" s="1"/>
      <c r="F44" s="84" t="s">
        <v>1354</v>
      </c>
      <c r="G44" s="1" t="s">
        <v>1354</v>
      </c>
      <c r="H44" s="84" t="s">
        <v>1354</v>
      </c>
      <c r="I44" s="84" t="s">
        <v>1358</v>
      </c>
      <c r="J44" s="84"/>
      <c r="K44" s="1" t="s">
        <v>1415</v>
      </c>
      <c r="L44" s="84" t="s">
        <v>1402</v>
      </c>
    </row>
    <row r="45" spans="1:12" ht="43.5" x14ac:dyDescent="0.35">
      <c r="A45" s="84" t="s">
        <v>1499</v>
      </c>
      <c r="B45" t="s">
        <v>1500</v>
      </c>
      <c r="C45" t="s">
        <v>86</v>
      </c>
      <c r="D45" s="1" t="s">
        <v>1398</v>
      </c>
      <c r="E45" s="1" t="s">
        <v>1728</v>
      </c>
      <c r="F45" s="84" t="s">
        <v>1354</v>
      </c>
      <c r="G45" s="1" t="s">
        <v>1354</v>
      </c>
      <c r="H45" s="84" t="s">
        <v>1354</v>
      </c>
      <c r="I45" s="84" t="s">
        <v>1358</v>
      </c>
      <c r="J45" s="84"/>
      <c r="K45" s="1" t="s">
        <v>1415</v>
      </c>
      <c r="L45" s="84" t="s">
        <v>1402</v>
      </c>
    </row>
    <row r="46" spans="1:12" ht="29" x14ac:dyDescent="0.35">
      <c r="A46" s="84" t="s">
        <v>1501</v>
      </c>
      <c r="B46" t="s">
        <v>1502</v>
      </c>
      <c r="C46" t="s">
        <v>86</v>
      </c>
      <c r="D46" s="1" t="s">
        <v>1418</v>
      </c>
      <c r="E46" s="1" t="s">
        <v>1414</v>
      </c>
      <c r="F46" s="84" t="s">
        <v>1354</v>
      </c>
      <c r="G46" s="1" t="s">
        <v>1354</v>
      </c>
      <c r="H46" s="84" t="s">
        <v>1354</v>
      </c>
      <c r="I46" s="84" t="s">
        <v>1358</v>
      </c>
      <c r="J46" s="84"/>
      <c r="K46" s="1" t="s">
        <v>1415</v>
      </c>
      <c r="L46" s="84" t="s">
        <v>1402</v>
      </c>
    </row>
    <row r="47" spans="1:12" ht="29" x14ac:dyDescent="0.35">
      <c r="A47" s="84" t="s">
        <v>1503</v>
      </c>
      <c r="B47" t="s">
        <v>1504</v>
      </c>
      <c r="C47" t="s">
        <v>86</v>
      </c>
      <c r="D47" s="1" t="s">
        <v>1418</v>
      </c>
      <c r="E47" s="1" t="s">
        <v>1414</v>
      </c>
      <c r="F47" s="84" t="s">
        <v>1354</v>
      </c>
      <c r="G47" s="1" t="s">
        <v>1354</v>
      </c>
      <c r="H47" s="84" t="s">
        <v>1354</v>
      </c>
      <c r="I47" s="84" t="s">
        <v>1358</v>
      </c>
      <c r="J47" s="84"/>
      <c r="K47" s="1" t="s">
        <v>1415</v>
      </c>
      <c r="L47" s="84" t="s">
        <v>1402</v>
      </c>
    </row>
    <row r="48" spans="1:12" ht="29" x14ac:dyDescent="0.35">
      <c r="A48" s="84" t="s">
        <v>1505</v>
      </c>
      <c r="B48" t="s">
        <v>1506</v>
      </c>
      <c r="C48" t="s">
        <v>86</v>
      </c>
      <c r="D48" s="1" t="s">
        <v>1418</v>
      </c>
      <c r="E48" s="1" t="s">
        <v>1414</v>
      </c>
      <c r="F48" s="84" t="s">
        <v>1354</v>
      </c>
      <c r="G48" s="1" t="s">
        <v>1354</v>
      </c>
      <c r="H48" s="84" t="s">
        <v>1354</v>
      </c>
      <c r="I48" s="84" t="s">
        <v>1358</v>
      </c>
      <c r="J48" s="84"/>
      <c r="K48" s="1" t="s">
        <v>1415</v>
      </c>
      <c r="L48" s="84" t="s">
        <v>1402</v>
      </c>
    </row>
    <row r="49" spans="1:12" x14ac:dyDescent="0.35">
      <c r="A49" s="84" t="s">
        <v>1507</v>
      </c>
      <c r="B49" t="s">
        <v>1508</v>
      </c>
      <c r="C49" t="s">
        <v>86</v>
      </c>
      <c r="D49" s="1" t="s">
        <v>1440</v>
      </c>
      <c r="E49" s="1" t="s">
        <v>1441</v>
      </c>
      <c r="F49" s="84" t="s">
        <v>1354</v>
      </c>
      <c r="G49" s="1" t="s">
        <v>1354</v>
      </c>
      <c r="H49" s="84" t="s">
        <v>1354</v>
      </c>
      <c r="I49" s="84" t="s">
        <v>1358</v>
      </c>
      <c r="J49" s="84"/>
      <c r="K49" s="1" t="s">
        <v>1415</v>
      </c>
      <c r="L49" s="84" t="s">
        <v>1402</v>
      </c>
    </row>
    <row r="50" spans="1:12" x14ac:dyDescent="0.35">
      <c r="A50" s="84" t="s">
        <v>1509</v>
      </c>
      <c r="B50" t="s">
        <v>1510</v>
      </c>
      <c r="C50" t="s">
        <v>86</v>
      </c>
      <c r="D50" s="1" t="s">
        <v>1511</v>
      </c>
      <c r="E50" s="1" t="s">
        <v>1512</v>
      </c>
      <c r="F50" s="84" t="s">
        <v>1354</v>
      </c>
      <c r="G50" s="1" t="s">
        <v>1354</v>
      </c>
      <c r="H50" s="84" t="s">
        <v>1354</v>
      </c>
      <c r="I50" s="84" t="s">
        <v>1358</v>
      </c>
      <c r="J50" s="84"/>
      <c r="K50" s="1" t="s">
        <v>1415</v>
      </c>
      <c r="L50" s="84" t="s">
        <v>1402</v>
      </c>
    </row>
    <row r="51" spans="1:12" ht="29" x14ac:dyDescent="0.35">
      <c r="A51" s="84" t="s">
        <v>1513</v>
      </c>
      <c r="B51" t="s">
        <v>1514</v>
      </c>
      <c r="C51" t="s">
        <v>1515</v>
      </c>
      <c r="D51" s="1" t="s">
        <v>1398</v>
      </c>
      <c r="E51" s="1" t="s">
        <v>1729</v>
      </c>
      <c r="F51" s="84" t="s">
        <v>1354</v>
      </c>
      <c r="G51" s="1" t="s">
        <v>1354</v>
      </c>
      <c r="H51" s="84" t="s">
        <v>1354</v>
      </c>
      <c r="I51" s="84" t="s">
        <v>1358</v>
      </c>
      <c r="J51" s="84"/>
      <c r="K51" s="1" t="s">
        <v>1415</v>
      </c>
      <c r="L51" s="84" t="s">
        <v>1402</v>
      </c>
    </row>
    <row r="52" spans="1:12" ht="29" x14ac:dyDescent="0.35">
      <c r="A52" s="84" t="s">
        <v>1516</v>
      </c>
      <c r="B52" t="s">
        <v>1517</v>
      </c>
      <c r="C52" t="s">
        <v>1515</v>
      </c>
      <c r="D52" s="1" t="s">
        <v>1418</v>
      </c>
      <c r="E52" s="1" t="s">
        <v>1414</v>
      </c>
      <c r="F52" s="84" t="s">
        <v>1354</v>
      </c>
      <c r="G52" s="1" t="s">
        <v>1354</v>
      </c>
      <c r="H52" s="84" t="s">
        <v>1354</v>
      </c>
      <c r="I52" s="84" t="s">
        <v>1358</v>
      </c>
      <c r="J52" s="84"/>
      <c r="K52" s="1" t="s">
        <v>1415</v>
      </c>
      <c r="L52" s="84" t="s">
        <v>1402</v>
      </c>
    </row>
    <row r="53" spans="1:12" ht="29" x14ac:dyDescent="0.35">
      <c r="A53" s="84" t="s">
        <v>1518</v>
      </c>
      <c r="B53" t="s">
        <v>1519</v>
      </c>
      <c r="C53" t="s">
        <v>1515</v>
      </c>
      <c r="D53" s="1" t="s">
        <v>1418</v>
      </c>
      <c r="E53" s="1" t="s">
        <v>1414</v>
      </c>
      <c r="F53" s="84" t="s">
        <v>1354</v>
      </c>
      <c r="G53" s="1" t="s">
        <v>1354</v>
      </c>
      <c r="H53" s="84" t="s">
        <v>1354</v>
      </c>
      <c r="I53" s="84" t="s">
        <v>1358</v>
      </c>
      <c r="J53" s="84"/>
      <c r="K53" s="1" t="s">
        <v>1415</v>
      </c>
      <c r="L53" s="84" t="s">
        <v>1402</v>
      </c>
    </row>
    <row r="54" spans="1:12" x14ac:dyDescent="0.35">
      <c r="A54" s="84" t="s">
        <v>1520</v>
      </c>
      <c r="B54" t="s">
        <v>1521</v>
      </c>
      <c r="C54" t="s">
        <v>1515</v>
      </c>
      <c r="D54" s="1" t="s">
        <v>1413</v>
      </c>
      <c r="E54" s="1" t="s">
        <v>1414</v>
      </c>
      <c r="F54" s="84" t="s">
        <v>1354</v>
      </c>
      <c r="G54" s="1" t="s">
        <v>1354</v>
      </c>
      <c r="H54" s="84" t="s">
        <v>1354</v>
      </c>
      <c r="I54" s="84" t="s">
        <v>1358</v>
      </c>
      <c r="J54" s="84"/>
      <c r="K54" s="1" t="s">
        <v>1415</v>
      </c>
      <c r="L54" s="84" t="s">
        <v>1402</v>
      </c>
    </row>
    <row r="55" spans="1:12" x14ac:dyDescent="0.35">
      <c r="A55" s="84" t="s">
        <v>1522</v>
      </c>
      <c r="B55" t="s">
        <v>1523</v>
      </c>
      <c r="C55" t="s">
        <v>1515</v>
      </c>
      <c r="D55" s="1" t="s">
        <v>1429</v>
      </c>
      <c r="E55" s="1"/>
      <c r="F55" s="84" t="s">
        <v>1354</v>
      </c>
      <c r="G55" s="1" t="s">
        <v>1354</v>
      </c>
      <c r="H55" s="84" t="s">
        <v>1354</v>
      </c>
      <c r="I55" s="84" t="s">
        <v>1358</v>
      </c>
      <c r="J55" s="84"/>
      <c r="K55" s="1" t="s">
        <v>1415</v>
      </c>
      <c r="L55" s="84" t="s">
        <v>1402</v>
      </c>
    </row>
    <row r="56" spans="1:12" x14ac:dyDescent="0.35">
      <c r="A56" s="84" t="s">
        <v>1524</v>
      </c>
      <c r="B56" t="s">
        <v>1525</v>
      </c>
      <c r="C56" t="s">
        <v>1515</v>
      </c>
      <c r="D56" s="1" t="s">
        <v>1432</v>
      </c>
      <c r="E56" s="1"/>
      <c r="F56" s="84" t="s">
        <v>1354</v>
      </c>
      <c r="G56" s="1" t="s">
        <v>1354</v>
      </c>
      <c r="H56" s="84" t="s">
        <v>1354</v>
      </c>
      <c r="I56" s="84" t="s">
        <v>1358</v>
      </c>
      <c r="J56" s="84"/>
      <c r="K56" s="1" t="s">
        <v>1415</v>
      </c>
      <c r="L56" s="84" t="s">
        <v>1402</v>
      </c>
    </row>
    <row r="57" spans="1:12" x14ac:dyDescent="0.35">
      <c r="A57" s="84" t="s">
        <v>1526</v>
      </c>
      <c r="B57" t="s">
        <v>1527</v>
      </c>
      <c r="C57" t="s">
        <v>1515</v>
      </c>
      <c r="D57" s="1" t="s">
        <v>1436</v>
      </c>
      <c r="E57" s="1"/>
      <c r="F57" s="84" t="s">
        <v>1354</v>
      </c>
      <c r="G57" s="1" t="s">
        <v>1354</v>
      </c>
      <c r="H57" s="84" t="s">
        <v>1354</v>
      </c>
      <c r="I57" s="84" t="s">
        <v>1358</v>
      </c>
      <c r="J57" s="84"/>
      <c r="K57" s="1" t="s">
        <v>1415</v>
      </c>
      <c r="L57" s="84" t="s">
        <v>1402</v>
      </c>
    </row>
    <row r="58" spans="1:12" x14ac:dyDescent="0.35">
      <c r="A58" s="84" t="s">
        <v>1528</v>
      </c>
      <c r="B58" t="s">
        <v>1529</v>
      </c>
      <c r="C58" t="s">
        <v>1515</v>
      </c>
      <c r="D58" s="1" t="s">
        <v>1436</v>
      </c>
      <c r="E58" s="1" t="s">
        <v>1512</v>
      </c>
      <c r="F58" s="84" t="s">
        <v>1354</v>
      </c>
      <c r="G58" s="1" t="s">
        <v>1354</v>
      </c>
      <c r="H58" s="84" t="s">
        <v>1354</v>
      </c>
      <c r="I58" s="84" t="s">
        <v>1358</v>
      </c>
      <c r="J58" s="84"/>
      <c r="K58" s="1" t="s">
        <v>1415</v>
      </c>
      <c r="L58" s="84" t="s">
        <v>1402</v>
      </c>
    </row>
    <row r="59" spans="1:12" x14ac:dyDescent="0.35">
      <c r="A59" s="84" t="s">
        <v>1530</v>
      </c>
      <c r="B59" t="s">
        <v>1531</v>
      </c>
      <c r="C59" t="s">
        <v>1515</v>
      </c>
      <c r="D59" s="1" t="s">
        <v>1440</v>
      </c>
      <c r="E59" s="1" t="s">
        <v>1441</v>
      </c>
      <c r="F59" s="84" t="s">
        <v>1354</v>
      </c>
      <c r="G59" s="1" t="s">
        <v>1354</v>
      </c>
      <c r="H59" s="84" t="s">
        <v>1354</v>
      </c>
      <c r="I59" s="84" t="s">
        <v>1358</v>
      </c>
      <c r="J59" s="84"/>
      <c r="K59" s="1" t="s">
        <v>1415</v>
      </c>
      <c r="L59" s="84" t="s">
        <v>1402</v>
      </c>
    </row>
    <row r="60" spans="1:12" x14ac:dyDescent="0.35">
      <c r="A60" s="84" t="s">
        <v>1532</v>
      </c>
      <c r="B60" t="s">
        <v>1533</v>
      </c>
      <c r="C60" t="s">
        <v>1515</v>
      </c>
      <c r="D60" s="1" t="s">
        <v>1444</v>
      </c>
      <c r="E60" s="1" t="s">
        <v>1384</v>
      </c>
      <c r="F60" s="84" t="s">
        <v>1354</v>
      </c>
      <c r="G60" s="1" t="s">
        <v>1354</v>
      </c>
      <c r="H60" s="84" t="s">
        <v>1354</v>
      </c>
      <c r="I60" s="84" t="s">
        <v>1358</v>
      </c>
      <c r="J60" s="84"/>
      <c r="K60" s="1" t="s">
        <v>1415</v>
      </c>
      <c r="L60" s="84" t="s">
        <v>1402</v>
      </c>
    </row>
    <row r="61" spans="1:12" x14ac:dyDescent="0.35">
      <c r="A61" s="84" t="s">
        <v>1534</v>
      </c>
      <c r="B61" t="s">
        <v>1535</v>
      </c>
      <c r="C61" t="s">
        <v>1515</v>
      </c>
      <c r="D61" s="1" t="s">
        <v>1447</v>
      </c>
      <c r="E61" s="1" t="s">
        <v>1381</v>
      </c>
      <c r="F61" s="84" t="s">
        <v>1354</v>
      </c>
      <c r="G61" s="1" t="s">
        <v>1354</v>
      </c>
      <c r="H61" s="84" t="s">
        <v>1354</v>
      </c>
      <c r="I61" s="84" t="s">
        <v>1358</v>
      </c>
      <c r="J61" s="84"/>
      <c r="K61" s="1" t="s">
        <v>1415</v>
      </c>
      <c r="L61" s="84" t="s">
        <v>1402</v>
      </c>
    </row>
    <row r="62" spans="1:12" x14ac:dyDescent="0.35">
      <c r="A62" s="84" t="s">
        <v>1536</v>
      </c>
      <c r="B62" t="s">
        <v>1537</v>
      </c>
      <c r="C62" t="s">
        <v>1515</v>
      </c>
      <c r="D62" s="1" t="s">
        <v>1474</v>
      </c>
      <c r="E62" s="1"/>
      <c r="F62" s="84" t="s">
        <v>1354</v>
      </c>
      <c r="G62" s="1" t="s">
        <v>1354</v>
      </c>
      <c r="H62" s="84" t="s">
        <v>1354</v>
      </c>
      <c r="I62" s="84" t="s">
        <v>1358</v>
      </c>
      <c r="J62" s="84"/>
      <c r="K62" s="1" t="s">
        <v>1415</v>
      </c>
      <c r="L62" s="84" t="s">
        <v>1402</v>
      </c>
    </row>
    <row r="63" spans="1:12" ht="29" x14ac:dyDescent="0.35">
      <c r="A63" s="84" t="s">
        <v>1538</v>
      </c>
      <c r="B63" t="s">
        <v>1539</v>
      </c>
      <c r="C63" t="s">
        <v>1540</v>
      </c>
      <c r="D63" s="1" t="s">
        <v>1398</v>
      </c>
      <c r="E63" s="1" t="s">
        <v>1541</v>
      </c>
      <c r="F63" s="84" t="s">
        <v>1354</v>
      </c>
      <c r="G63" s="1" t="s">
        <v>1354</v>
      </c>
      <c r="H63" s="84" t="s">
        <v>1354</v>
      </c>
      <c r="I63" s="84" t="s">
        <v>1358</v>
      </c>
      <c r="J63" s="84"/>
      <c r="K63" s="1" t="s">
        <v>1415</v>
      </c>
      <c r="L63" s="84" t="s">
        <v>1402</v>
      </c>
    </row>
    <row r="64" spans="1:12" ht="29" x14ac:dyDescent="0.35">
      <c r="A64" s="84" t="s">
        <v>1542</v>
      </c>
      <c r="B64" t="s">
        <v>1543</v>
      </c>
      <c r="C64" t="s">
        <v>1540</v>
      </c>
      <c r="D64" s="1" t="s">
        <v>1418</v>
      </c>
      <c r="E64" s="1" t="s">
        <v>1384</v>
      </c>
      <c r="F64" s="84" t="s">
        <v>1354</v>
      </c>
      <c r="G64" s="1" t="s">
        <v>1354</v>
      </c>
      <c r="H64" s="84" t="s">
        <v>1354</v>
      </c>
      <c r="I64" s="84" t="s">
        <v>1358</v>
      </c>
      <c r="J64" s="84"/>
      <c r="K64" s="1" t="s">
        <v>1415</v>
      </c>
      <c r="L64" s="84" t="s">
        <v>1402</v>
      </c>
    </row>
    <row r="65" spans="1:12" x14ac:dyDescent="0.35">
      <c r="A65" s="84" t="s">
        <v>1544</v>
      </c>
      <c r="B65" t="s">
        <v>1545</v>
      </c>
      <c r="C65" t="s">
        <v>1546</v>
      </c>
      <c r="D65" s="1" t="s">
        <v>1404</v>
      </c>
      <c r="E65" s="1"/>
      <c r="F65" s="84" t="s">
        <v>1354</v>
      </c>
      <c r="G65" s="1" t="s">
        <v>1354</v>
      </c>
      <c r="H65" s="84" t="s">
        <v>1354</v>
      </c>
      <c r="I65" s="84" t="s">
        <v>1358</v>
      </c>
      <c r="J65" s="84"/>
      <c r="K65" s="1" t="s">
        <v>1415</v>
      </c>
      <c r="L65" s="84" t="s">
        <v>1402</v>
      </c>
    </row>
    <row r="66" spans="1:12" x14ac:dyDescent="0.35">
      <c r="A66" s="84" t="s">
        <v>1547</v>
      </c>
      <c r="B66" t="s">
        <v>1548</v>
      </c>
      <c r="C66" t="s">
        <v>1546</v>
      </c>
      <c r="D66" s="1" t="s">
        <v>1413</v>
      </c>
      <c r="E66" s="1" t="s">
        <v>1414</v>
      </c>
      <c r="F66" s="84" t="s">
        <v>1354</v>
      </c>
      <c r="G66" s="1" t="s">
        <v>1354</v>
      </c>
      <c r="H66" s="84" t="s">
        <v>1354</v>
      </c>
      <c r="I66" s="84" t="s">
        <v>1358</v>
      </c>
      <c r="J66" s="84"/>
      <c r="K66" s="1" t="s">
        <v>1415</v>
      </c>
      <c r="L66" s="84" t="s">
        <v>1402</v>
      </c>
    </row>
    <row r="67" spans="1:12" x14ac:dyDescent="0.35">
      <c r="A67" s="84" t="s">
        <v>1549</v>
      </c>
      <c r="B67" t="s">
        <v>1550</v>
      </c>
      <c r="C67" t="s">
        <v>1546</v>
      </c>
      <c r="D67" s="1" t="s">
        <v>1429</v>
      </c>
      <c r="E67" s="1"/>
      <c r="F67" s="84" t="s">
        <v>1354</v>
      </c>
      <c r="G67" s="1" t="s">
        <v>1354</v>
      </c>
      <c r="H67" s="84" t="s">
        <v>1354</v>
      </c>
      <c r="I67" s="84" t="s">
        <v>1358</v>
      </c>
      <c r="J67" s="84"/>
      <c r="K67" s="1" t="s">
        <v>1415</v>
      </c>
      <c r="L67" s="84" t="s">
        <v>1402</v>
      </c>
    </row>
    <row r="68" spans="1:12" x14ac:dyDescent="0.35">
      <c r="A68" s="84" t="s">
        <v>1551</v>
      </c>
      <c r="B68" t="s">
        <v>1552</v>
      </c>
      <c r="C68" t="s">
        <v>1546</v>
      </c>
      <c r="D68" s="1" t="s">
        <v>1422</v>
      </c>
      <c r="E68" s="1" t="s">
        <v>1423</v>
      </c>
      <c r="F68" s="84" t="s">
        <v>1354</v>
      </c>
      <c r="G68" s="1" t="s">
        <v>1354</v>
      </c>
      <c r="H68" s="84" t="s">
        <v>1354</v>
      </c>
      <c r="I68" s="84" t="s">
        <v>1358</v>
      </c>
      <c r="J68" s="84"/>
      <c r="K68" s="1" t="s">
        <v>1415</v>
      </c>
      <c r="L68" s="84" t="s">
        <v>1402</v>
      </c>
    </row>
    <row r="69" spans="1:12" x14ac:dyDescent="0.35">
      <c r="A69" s="84" t="s">
        <v>1553</v>
      </c>
      <c r="B69" t="s">
        <v>1554</v>
      </c>
      <c r="C69" t="s">
        <v>1546</v>
      </c>
      <c r="D69" s="1" t="s">
        <v>1432</v>
      </c>
      <c r="E69" s="1"/>
      <c r="F69" s="84" t="s">
        <v>1354</v>
      </c>
      <c r="G69" s="1" t="s">
        <v>1354</v>
      </c>
      <c r="H69" s="84" t="s">
        <v>1354</v>
      </c>
      <c r="I69" s="84" t="s">
        <v>1358</v>
      </c>
      <c r="J69" s="84"/>
      <c r="K69" s="1" t="s">
        <v>1415</v>
      </c>
      <c r="L69" s="84" t="s">
        <v>1402</v>
      </c>
    </row>
    <row r="70" spans="1:12" x14ac:dyDescent="0.35">
      <c r="A70" s="84" t="s">
        <v>1555</v>
      </c>
      <c r="B70" t="s">
        <v>1556</v>
      </c>
      <c r="C70" t="s">
        <v>1546</v>
      </c>
      <c r="D70" s="1" t="s">
        <v>1436</v>
      </c>
      <c r="E70" s="1"/>
      <c r="F70" s="84" t="s">
        <v>1354</v>
      </c>
      <c r="G70" s="1" t="s">
        <v>1354</v>
      </c>
      <c r="H70" s="84" t="s">
        <v>1354</v>
      </c>
      <c r="I70" s="84" t="s">
        <v>1358</v>
      </c>
      <c r="J70" s="84"/>
      <c r="K70" s="1" t="s">
        <v>1415</v>
      </c>
      <c r="L70" s="84" t="s">
        <v>1402</v>
      </c>
    </row>
    <row r="71" spans="1:12" x14ac:dyDescent="0.35">
      <c r="A71" s="84" t="s">
        <v>1557</v>
      </c>
      <c r="B71" t="s">
        <v>1558</v>
      </c>
      <c r="C71" t="s">
        <v>1546</v>
      </c>
      <c r="D71" s="1" t="s">
        <v>1444</v>
      </c>
      <c r="E71" s="1" t="s">
        <v>1384</v>
      </c>
      <c r="F71" s="84" t="s">
        <v>1354</v>
      </c>
      <c r="G71" s="1" t="s">
        <v>1354</v>
      </c>
      <c r="H71" s="84" t="s">
        <v>1354</v>
      </c>
      <c r="I71" s="84" t="s">
        <v>1358</v>
      </c>
      <c r="J71" s="84"/>
      <c r="K71" s="1" t="s">
        <v>1415</v>
      </c>
      <c r="L71" s="84" t="s">
        <v>1402</v>
      </c>
    </row>
    <row r="72" spans="1:12" x14ac:dyDescent="0.35">
      <c r="A72" s="84" t="s">
        <v>1559</v>
      </c>
      <c r="B72" t="s">
        <v>1560</v>
      </c>
      <c r="C72" t="s">
        <v>1546</v>
      </c>
      <c r="D72" s="1" t="s">
        <v>1447</v>
      </c>
      <c r="E72" s="1" t="s">
        <v>1381</v>
      </c>
      <c r="F72" s="84" t="s">
        <v>1354</v>
      </c>
      <c r="G72" s="1" t="s">
        <v>1354</v>
      </c>
      <c r="H72" s="84" t="s">
        <v>1354</v>
      </c>
      <c r="I72" s="84" t="s">
        <v>1358</v>
      </c>
      <c r="J72" s="84"/>
      <c r="K72" s="1" t="s">
        <v>1415</v>
      </c>
      <c r="L72" s="84" t="s">
        <v>1402</v>
      </c>
    </row>
    <row r="73" spans="1:12" x14ac:dyDescent="0.35">
      <c r="A73" s="84" t="s">
        <v>1561</v>
      </c>
      <c r="B73" t="s">
        <v>1562</v>
      </c>
      <c r="C73" t="s">
        <v>1546</v>
      </c>
      <c r="D73" s="1" t="s">
        <v>1474</v>
      </c>
      <c r="E73" s="1"/>
      <c r="F73" s="84" t="s">
        <v>1354</v>
      </c>
      <c r="G73" s="1" t="s">
        <v>1354</v>
      </c>
      <c r="H73" s="84" t="s">
        <v>1354</v>
      </c>
      <c r="I73" s="84" t="s">
        <v>1358</v>
      </c>
      <c r="J73" s="84"/>
      <c r="K73" s="1" t="s">
        <v>1415</v>
      </c>
      <c r="L73" s="84" t="s">
        <v>1402</v>
      </c>
    </row>
    <row r="74" spans="1:12" x14ac:dyDescent="0.35">
      <c r="A74" s="84" t="s">
        <v>1563</v>
      </c>
      <c r="B74" t="s">
        <v>1564</v>
      </c>
      <c r="C74" t="s">
        <v>1546</v>
      </c>
      <c r="D74" s="1" t="s">
        <v>1474</v>
      </c>
      <c r="E74" s="1"/>
      <c r="F74" s="84" t="s">
        <v>1354</v>
      </c>
      <c r="G74" s="1" t="s">
        <v>1354</v>
      </c>
      <c r="H74" s="84" t="s">
        <v>1354</v>
      </c>
      <c r="I74" s="84" t="s">
        <v>1358</v>
      </c>
      <c r="J74" s="84"/>
      <c r="K74" s="1" t="s">
        <v>1415</v>
      </c>
      <c r="L74" s="84" t="s">
        <v>1402</v>
      </c>
    </row>
    <row r="75" spans="1:12" x14ac:dyDescent="0.35">
      <c r="A75" s="84" t="s">
        <v>1565</v>
      </c>
      <c r="B75" t="s">
        <v>1566</v>
      </c>
      <c r="C75" t="s">
        <v>1567</v>
      </c>
      <c r="D75" s="1" t="s">
        <v>1404</v>
      </c>
      <c r="E75" s="1"/>
      <c r="F75" s="84" t="s">
        <v>1354</v>
      </c>
      <c r="G75" s="1" t="s">
        <v>1354</v>
      </c>
      <c r="H75" s="84" t="s">
        <v>1354</v>
      </c>
      <c r="I75" s="84" t="s">
        <v>1358</v>
      </c>
      <c r="J75" s="84"/>
      <c r="K75" s="1" t="s">
        <v>1415</v>
      </c>
      <c r="L75" s="84" t="s">
        <v>1402</v>
      </c>
    </row>
    <row r="76" spans="1:12" x14ac:dyDescent="0.35">
      <c r="A76" s="84" t="s">
        <v>1568</v>
      </c>
      <c r="B76" t="s">
        <v>1569</v>
      </c>
      <c r="C76" t="s">
        <v>1567</v>
      </c>
      <c r="D76" s="1" t="s">
        <v>1413</v>
      </c>
      <c r="E76" s="1" t="s">
        <v>1414</v>
      </c>
      <c r="F76" s="84" t="s">
        <v>1354</v>
      </c>
      <c r="G76" s="1" t="s">
        <v>1354</v>
      </c>
      <c r="H76" s="84" t="s">
        <v>1354</v>
      </c>
      <c r="I76" s="84" t="s">
        <v>1358</v>
      </c>
      <c r="J76" s="84"/>
      <c r="K76" s="1" t="s">
        <v>1415</v>
      </c>
      <c r="L76" s="84" t="s">
        <v>1402</v>
      </c>
    </row>
    <row r="77" spans="1:12" x14ac:dyDescent="0.35">
      <c r="A77" s="84" t="s">
        <v>1570</v>
      </c>
      <c r="B77" t="s">
        <v>1571</v>
      </c>
      <c r="C77" t="s">
        <v>1567</v>
      </c>
      <c r="D77" s="1" t="s">
        <v>1422</v>
      </c>
      <c r="E77" s="1" t="s">
        <v>1423</v>
      </c>
      <c r="F77" s="84" t="s">
        <v>1354</v>
      </c>
      <c r="G77" s="1" t="s">
        <v>1354</v>
      </c>
      <c r="H77" s="84" t="s">
        <v>1354</v>
      </c>
      <c r="I77" s="84" t="s">
        <v>1358</v>
      </c>
      <c r="J77" s="84"/>
      <c r="K77" s="1" t="s">
        <v>1415</v>
      </c>
      <c r="L77" s="84" t="s">
        <v>1402</v>
      </c>
    </row>
    <row r="78" spans="1:12" x14ac:dyDescent="0.35">
      <c r="A78" s="84" t="s">
        <v>1572</v>
      </c>
      <c r="B78" t="s">
        <v>1573</v>
      </c>
      <c r="C78" t="s">
        <v>1567</v>
      </c>
      <c r="D78" s="1" t="s">
        <v>1429</v>
      </c>
      <c r="E78" s="1"/>
      <c r="F78" s="84" t="s">
        <v>1354</v>
      </c>
      <c r="G78" s="1" t="s">
        <v>1354</v>
      </c>
      <c r="H78" s="84" t="s">
        <v>1354</v>
      </c>
      <c r="I78" s="84" t="s">
        <v>1358</v>
      </c>
      <c r="J78" s="84"/>
      <c r="K78" s="1" t="s">
        <v>1415</v>
      </c>
      <c r="L78" s="84" t="s">
        <v>1402</v>
      </c>
    </row>
    <row r="79" spans="1:12" x14ac:dyDescent="0.35">
      <c r="A79" s="84" t="s">
        <v>1574</v>
      </c>
      <c r="B79" t="s">
        <v>1575</v>
      </c>
      <c r="C79" t="s">
        <v>1567</v>
      </c>
      <c r="D79" s="1" t="s">
        <v>1444</v>
      </c>
      <c r="E79" s="1" t="s">
        <v>1384</v>
      </c>
      <c r="F79" s="84" t="s">
        <v>1354</v>
      </c>
      <c r="G79" s="1" t="s">
        <v>1354</v>
      </c>
      <c r="H79" s="84" t="s">
        <v>1354</v>
      </c>
      <c r="I79" s="84" t="s">
        <v>1358</v>
      </c>
      <c r="J79" s="84"/>
      <c r="K79" s="1" t="s">
        <v>1415</v>
      </c>
      <c r="L79" s="84" t="s">
        <v>1402</v>
      </c>
    </row>
    <row r="80" spans="1:12" x14ac:dyDescent="0.35">
      <c r="A80" s="84" t="s">
        <v>1576</v>
      </c>
      <c r="B80" t="s">
        <v>1577</v>
      </c>
      <c r="C80" t="s">
        <v>1567</v>
      </c>
      <c r="D80" s="1" t="s">
        <v>1447</v>
      </c>
      <c r="E80" s="1" t="s">
        <v>1381</v>
      </c>
      <c r="F80" s="84" t="s">
        <v>1354</v>
      </c>
      <c r="G80" s="1" t="s">
        <v>1354</v>
      </c>
      <c r="H80" s="84" t="s">
        <v>1354</v>
      </c>
      <c r="I80" s="84" t="s">
        <v>1358</v>
      </c>
      <c r="J80" s="84"/>
      <c r="K80" s="1" t="s">
        <v>1415</v>
      </c>
      <c r="L80" s="84" t="s">
        <v>1402</v>
      </c>
    </row>
    <row r="81" spans="1:12" x14ac:dyDescent="0.35">
      <c r="A81" s="84" t="s">
        <v>1578</v>
      </c>
      <c r="B81" t="s">
        <v>1579</v>
      </c>
      <c r="C81" t="s">
        <v>1580</v>
      </c>
      <c r="D81" s="1" t="s">
        <v>1404</v>
      </c>
      <c r="E81" s="1"/>
      <c r="F81" s="84" t="s">
        <v>1354</v>
      </c>
      <c r="G81" s="1" t="s">
        <v>1354</v>
      </c>
      <c r="H81" s="84" t="s">
        <v>1354</v>
      </c>
      <c r="I81" s="84" t="s">
        <v>1358</v>
      </c>
      <c r="J81" s="84"/>
      <c r="K81" s="1" t="s">
        <v>1415</v>
      </c>
      <c r="L81" s="84" t="s">
        <v>1402</v>
      </c>
    </row>
    <row r="82" spans="1:12" ht="29" x14ac:dyDescent="0.35">
      <c r="A82" s="84" t="s">
        <v>1581</v>
      </c>
      <c r="B82" t="s">
        <v>1582</v>
      </c>
      <c r="C82" t="s">
        <v>1580</v>
      </c>
      <c r="D82" s="1" t="s">
        <v>1418</v>
      </c>
      <c r="E82" s="1" t="s">
        <v>1414</v>
      </c>
      <c r="F82" s="84" t="s">
        <v>1354</v>
      </c>
      <c r="G82" s="1" t="s">
        <v>1354</v>
      </c>
      <c r="H82" s="84" t="s">
        <v>1354</v>
      </c>
      <c r="I82" s="84" t="s">
        <v>1358</v>
      </c>
      <c r="J82" s="84"/>
      <c r="K82" s="1" t="s">
        <v>1415</v>
      </c>
      <c r="L82" s="84" t="s">
        <v>1402</v>
      </c>
    </row>
    <row r="83" spans="1:12" x14ac:dyDescent="0.35">
      <c r="A83" s="84" t="s">
        <v>1583</v>
      </c>
      <c r="B83" t="s">
        <v>1584</v>
      </c>
      <c r="C83" t="s">
        <v>1580</v>
      </c>
      <c r="D83" s="1" t="s">
        <v>1422</v>
      </c>
      <c r="E83" s="1" t="s">
        <v>1423</v>
      </c>
      <c r="F83" s="84" t="s">
        <v>1354</v>
      </c>
      <c r="G83" s="1" t="s">
        <v>1354</v>
      </c>
      <c r="H83" s="84" t="s">
        <v>1354</v>
      </c>
      <c r="I83" s="84" t="s">
        <v>1358</v>
      </c>
      <c r="J83" s="84"/>
      <c r="K83" s="1" t="s">
        <v>1415</v>
      </c>
      <c r="L83" s="84" t="s">
        <v>1402</v>
      </c>
    </row>
    <row r="84" spans="1:12" x14ac:dyDescent="0.35">
      <c r="A84" s="84" t="s">
        <v>1585</v>
      </c>
      <c r="B84" t="s">
        <v>1586</v>
      </c>
      <c r="C84" t="s">
        <v>1580</v>
      </c>
      <c r="D84" s="1" t="s">
        <v>1429</v>
      </c>
      <c r="E84" s="1"/>
      <c r="F84" s="84" t="s">
        <v>1354</v>
      </c>
      <c r="G84" s="1" t="s">
        <v>1354</v>
      </c>
      <c r="H84" s="84" t="s">
        <v>1354</v>
      </c>
      <c r="I84" s="84" t="s">
        <v>1358</v>
      </c>
      <c r="J84" s="84"/>
      <c r="K84" s="1" t="s">
        <v>1415</v>
      </c>
      <c r="L84" s="84" t="s">
        <v>1402</v>
      </c>
    </row>
    <row r="85" spans="1:12" x14ac:dyDescent="0.35">
      <c r="A85" s="84" t="s">
        <v>1587</v>
      </c>
      <c r="B85" t="s">
        <v>1588</v>
      </c>
      <c r="C85" t="s">
        <v>1580</v>
      </c>
      <c r="D85" s="1" t="s">
        <v>1432</v>
      </c>
      <c r="E85" s="1"/>
      <c r="F85" s="84" t="s">
        <v>1354</v>
      </c>
      <c r="G85" s="1" t="s">
        <v>1354</v>
      </c>
      <c r="H85" s="84" t="s">
        <v>1354</v>
      </c>
      <c r="I85" s="84" t="s">
        <v>1358</v>
      </c>
      <c r="J85" s="84"/>
      <c r="K85" s="1" t="s">
        <v>1415</v>
      </c>
      <c r="L85" s="84" t="s">
        <v>1402</v>
      </c>
    </row>
    <row r="86" spans="1:12" x14ac:dyDescent="0.35">
      <c r="A86" s="84" t="s">
        <v>1589</v>
      </c>
      <c r="B86" t="s">
        <v>1590</v>
      </c>
      <c r="C86" t="s">
        <v>1580</v>
      </c>
      <c r="D86" s="1" t="s">
        <v>1436</v>
      </c>
      <c r="E86" s="1"/>
      <c r="F86" s="84" t="s">
        <v>1354</v>
      </c>
      <c r="G86" s="1" t="s">
        <v>1354</v>
      </c>
      <c r="H86" s="84" t="s">
        <v>1354</v>
      </c>
      <c r="I86" s="84" t="s">
        <v>1358</v>
      </c>
      <c r="J86" s="84"/>
      <c r="K86" s="1" t="s">
        <v>1415</v>
      </c>
      <c r="L86" s="84" t="s">
        <v>1402</v>
      </c>
    </row>
    <row r="87" spans="1:12" x14ac:dyDescent="0.35">
      <c r="A87" s="84" t="s">
        <v>1591</v>
      </c>
      <c r="B87" t="s">
        <v>1592</v>
      </c>
      <c r="C87" t="s">
        <v>1580</v>
      </c>
      <c r="D87" s="1" t="s">
        <v>1444</v>
      </c>
      <c r="E87" s="1" t="s">
        <v>1384</v>
      </c>
      <c r="F87" s="84" t="s">
        <v>1354</v>
      </c>
      <c r="G87" s="1" t="s">
        <v>1354</v>
      </c>
      <c r="H87" s="84" t="s">
        <v>1354</v>
      </c>
      <c r="I87" s="84" t="s">
        <v>1358</v>
      </c>
      <c r="J87" s="84"/>
      <c r="K87" s="1" t="s">
        <v>1415</v>
      </c>
      <c r="L87" s="84" t="s">
        <v>1402</v>
      </c>
    </row>
    <row r="88" spans="1:12" x14ac:dyDescent="0.35">
      <c r="A88" s="84" t="s">
        <v>1593</v>
      </c>
      <c r="B88" t="s">
        <v>1594</v>
      </c>
      <c r="C88" t="s">
        <v>1580</v>
      </c>
      <c r="D88" s="1" t="s">
        <v>1447</v>
      </c>
      <c r="E88" s="1" t="s">
        <v>1381</v>
      </c>
      <c r="F88" s="84" t="s">
        <v>1354</v>
      </c>
      <c r="G88" s="1" t="s">
        <v>1354</v>
      </c>
      <c r="H88" s="84" t="s">
        <v>1354</v>
      </c>
      <c r="I88" s="84" t="s">
        <v>1358</v>
      </c>
      <c r="J88" s="84"/>
      <c r="K88" s="1" t="s">
        <v>1415</v>
      </c>
      <c r="L88" s="84" t="s">
        <v>1402</v>
      </c>
    </row>
    <row r="89" spans="1:12" x14ac:dyDescent="0.35">
      <c r="A89" s="84" t="s">
        <v>1595</v>
      </c>
      <c r="B89" t="s">
        <v>1596</v>
      </c>
      <c r="C89" t="s">
        <v>1597</v>
      </c>
      <c r="D89" s="1" t="s">
        <v>1404</v>
      </c>
      <c r="E89" s="1" t="s">
        <v>1399</v>
      </c>
      <c r="F89" s="84" t="s">
        <v>1354</v>
      </c>
      <c r="G89" s="1" t="s">
        <v>1354</v>
      </c>
      <c r="H89" s="84" t="s">
        <v>1354</v>
      </c>
      <c r="I89" s="84" t="s">
        <v>1358</v>
      </c>
      <c r="J89" s="84"/>
      <c r="K89" s="1" t="s">
        <v>1415</v>
      </c>
      <c r="L89" s="84" t="s">
        <v>1402</v>
      </c>
    </row>
    <row r="90" spans="1:12" ht="29" x14ac:dyDescent="0.35">
      <c r="A90" s="84" t="s">
        <v>1598</v>
      </c>
      <c r="B90" t="s">
        <v>1599</v>
      </c>
      <c r="C90" t="s">
        <v>1597</v>
      </c>
      <c r="D90" s="1" t="s">
        <v>1418</v>
      </c>
      <c r="E90" s="1" t="s">
        <v>1414</v>
      </c>
      <c r="F90" s="84" t="s">
        <v>1354</v>
      </c>
      <c r="G90" s="1" t="s">
        <v>1354</v>
      </c>
      <c r="H90" s="84" t="s">
        <v>1354</v>
      </c>
      <c r="I90" s="84" t="s">
        <v>1358</v>
      </c>
      <c r="J90" s="84"/>
      <c r="K90" s="1" t="s">
        <v>1415</v>
      </c>
      <c r="L90" s="84" t="s">
        <v>1402</v>
      </c>
    </row>
    <row r="91" spans="1:12" x14ac:dyDescent="0.35">
      <c r="A91" s="84" t="s">
        <v>1600</v>
      </c>
      <c r="B91" t="s">
        <v>1601</v>
      </c>
      <c r="C91" t="s">
        <v>1597</v>
      </c>
      <c r="D91" s="1" t="s">
        <v>1422</v>
      </c>
      <c r="E91" s="1" t="s">
        <v>1423</v>
      </c>
      <c r="F91" s="84" t="s">
        <v>1354</v>
      </c>
      <c r="G91" s="1" t="s">
        <v>1354</v>
      </c>
      <c r="H91" s="84" t="s">
        <v>1354</v>
      </c>
      <c r="I91" s="84" t="s">
        <v>1358</v>
      </c>
      <c r="J91" s="84"/>
      <c r="K91" s="1" t="s">
        <v>1415</v>
      </c>
      <c r="L91" s="84" t="s">
        <v>1402</v>
      </c>
    </row>
    <row r="92" spans="1:12" x14ac:dyDescent="0.35">
      <c r="A92" s="84" t="s">
        <v>1602</v>
      </c>
      <c r="B92" t="s">
        <v>1603</v>
      </c>
      <c r="C92" t="s">
        <v>1597</v>
      </c>
      <c r="D92" s="1" t="s">
        <v>1429</v>
      </c>
      <c r="E92" s="1"/>
      <c r="F92" s="84" t="s">
        <v>1354</v>
      </c>
      <c r="G92" s="1" t="s">
        <v>1354</v>
      </c>
      <c r="H92" s="84" t="s">
        <v>1354</v>
      </c>
      <c r="I92" s="84" t="s">
        <v>1358</v>
      </c>
      <c r="J92" s="84"/>
      <c r="K92" s="1" t="s">
        <v>1415</v>
      </c>
      <c r="L92" s="84" t="s">
        <v>1402</v>
      </c>
    </row>
    <row r="93" spans="1:12" x14ac:dyDescent="0.35">
      <c r="A93" s="84" t="s">
        <v>1604</v>
      </c>
      <c r="B93" t="s">
        <v>1605</v>
      </c>
      <c r="C93" t="s">
        <v>1597</v>
      </c>
      <c r="D93" s="1" t="s">
        <v>1432</v>
      </c>
      <c r="E93" s="1"/>
      <c r="F93" s="84" t="s">
        <v>1354</v>
      </c>
      <c r="G93" s="1" t="s">
        <v>1354</v>
      </c>
      <c r="H93" s="84" t="s">
        <v>1354</v>
      </c>
      <c r="I93" s="84" t="s">
        <v>1358</v>
      </c>
      <c r="J93" s="84"/>
      <c r="K93" s="1" t="s">
        <v>1415</v>
      </c>
      <c r="L93" s="84" t="s">
        <v>1402</v>
      </c>
    </row>
    <row r="94" spans="1:12" x14ac:dyDescent="0.35">
      <c r="A94" s="84" t="s">
        <v>1606</v>
      </c>
      <c r="B94" t="s">
        <v>1607</v>
      </c>
      <c r="C94" t="s">
        <v>1597</v>
      </c>
      <c r="D94" s="1" t="s">
        <v>1444</v>
      </c>
      <c r="E94" s="1" t="s">
        <v>1384</v>
      </c>
      <c r="F94" s="84" t="s">
        <v>1354</v>
      </c>
      <c r="G94" s="1" t="s">
        <v>1354</v>
      </c>
      <c r="H94" s="84" t="s">
        <v>1354</v>
      </c>
      <c r="I94" s="84" t="s">
        <v>1358</v>
      </c>
      <c r="J94" s="84"/>
      <c r="K94" s="1" t="s">
        <v>1415</v>
      </c>
      <c r="L94" s="84" t="s">
        <v>1402</v>
      </c>
    </row>
    <row r="95" spans="1:12" x14ac:dyDescent="0.35">
      <c r="A95" s="84" t="s">
        <v>1608</v>
      </c>
      <c r="B95" t="s">
        <v>1609</v>
      </c>
      <c r="C95" t="s">
        <v>1597</v>
      </c>
      <c r="D95" s="1" t="s">
        <v>1447</v>
      </c>
      <c r="E95" s="1" t="s">
        <v>1381</v>
      </c>
      <c r="F95" s="84" t="s">
        <v>1354</v>
      </c>
      <c r="G95" s="1" t="s">
        <v>1354</v>
      </c>
      <c r="H95" s="84" t="s">
        <v>1354</v>
      </c>
      <c r="I95" s="84" t="s">
        <v>1358</v>
      </c>
      <c r="J95" s="84"/>
      <c r="K95" s="1" t="s">
        <v>1415</v>
      </c>
      <c r="L95" s="84" t="s">
        <v>1402</v>
      </c>
    </row>
    <row r="96" spans="1:12" x14ac:dyDescent="0.35">
      <c r="A96" s="84" t="s">
        <v>1610</v>
      </c>
      <c r="B96" t="s">
        <v>1611</v>
      </c>
      <c r="C96" t="s">
        <v>1612</v>
      </c>
      <c r="D96" s="1" t="s">
        <v>1404</v>
      </c>
      <c r="E96" s="1"/>
      <c r="F96" s="84" t="s">
        <v>1354</v>
      </c>
      <c r="G96" s="1" t="s">
        <v>1354</v>
      </c>
      <c r="H96" s="84" t="s">
        <v>1354</v>
      </c>
      <c r="I96" s="84" t="s">
        <v>1358</v>
      </c>
      <c r="J96" s="84"/>
      <c r="K96" s="1" t="s">
        <v>1415</v>
      </c>
      <c r="L96" s="84" t="s">
        <v>1402</v>
      </c>
    </row>
    <row r="97" spans="1:12" x14ac:dyDescent="0.35">
      <c r="A97" s="84" t="s">
        <v>1613</v>
      </c>
      <c r="B97" t="s">
        <v>1614</v>
      </c>
      <c r="C97" t="s">
        <v>1612</v>
      </c>
      <c r="D97" s="1" t="s">
        <v>1444</v>
      </c>
      <c r="E97" s="1" t="s">
        <v>1384</v>
      </c>
      <c r="F97" s="84" t="s">
        <v>1354</v>
      </c>
      <c r="G97" s="1" t="s">
        <v>1354</v>
      </c>
      <c r="H97" s="84" t="s">
        <v>1354</v>
      </c>
      <c r="I97" s="84" t="s">
        <v>1358</v>
      </c>
      <c r="J97" s="84"/>
      <c r="K97" s="1" t="s">
        <v>1415</v>
      </c>
      <c r="L97" s="84" t="s">
        <v>1402</v>
      </c>
    </row>
    <row r="98" spans="1:12" x14ac:dyDescent="0.35">
      <c r="A98" s="84" t="s">
        <v>1615</v>
      </c>
      <c r="B98" t="s">
        <v>1616</v>
      </c>
      <c r="C98" t="s">
        <v>1612</v>
      </c>
      <c r="D98" s="1" t="s">
        <v>1436</v>
      </c>
      <c r="E98" s="1"/>
      <c r="F98" s="84" t="s">
        <v>1354</v>
      </c>
      <c r="G98" s="1" t="s">
        <v>1354</v>
      </c>
      <c r="H98" s="84" t="s">
        <v>1354</v>
      </c>
      <c r="I98" s="84" t="s">
        <v>1358</v>
      </c>
      <c r="J98" s="84"/>
      <c r="K98" s="1" t="s">
        <v>1415</v>
      </c>
      <c r="L98" s="84" t="s">
        <v>1402</v>
      </c>
    </row>
    <row r="99" spans="1:12" x14ac:dyDescent="0.35">
      <c r="A99" s="84" t="s">
        <v>1617</v>
      </c>
      <c r="B99" t="s">
        <v>1618</v>
      </c>
      <c r="C99" t="s">
        <v>1612</v>
      </c>
      <c r="D99" s="1" t="s">
        <v>1432</v>
      </c>
      <c r="E99" s="1"/>
      <c r="F99" s="84" t="s">
        <v>1354</v>
      </c>
      <c r="G99" s="1" t="s">
        <v>1354</v>
      </c>
      <c r="H99" s="84" t="s">
        <v>1354</v>
      </c>
      <c r="I99" s="84" t="s">
        <v>1358</v>
      </c>
      <c r="J99" s="84"/>
      <c r="K99" s="1" t="s">
        <v>1415</v>
      </c>
      <c r="L99" s="84" t="s">
        <v>1402</v>
      </c>
    </row>
    <row r="100" spans="1:12" x14ac:dyDescent="0.35">
      <c r="A100" s="84" t="s">
        <v>1619</v>
      </c>
      <c r="B100" t="s">
        <v>1620</v>
      </c>
      <c r="C100" t="s">
        <v>1612</v>
      </c>
      <c r="D100" s="1" t="s">
        <v>1422</v>
      </c>
      <c r="E100" s="1" t="s">
        <v>1423</v>
      </c>
      <c r="F100" s="84" t="s">
        <v>1354</v>
      </c>
      <c r="G100" s="1" t="s">
        <v>1354</v>
      </c>
      <c r="H100" s="84" t="s">
        <v>1354</v>
      </c>
      <c r="I100" s="84" t="s">
        <v>1358</v>
      </c>
      <c r="J100" s="84"/>
      <c r="K100" s="1" t="s">
        <v>1415</v>
      </c>
      <c r="L100" s="84" t="s">
        <v>1402</v>
      </c>
    </row>
    <row r="101" spans="1:12" x14ac:dyDescent="0.35">
      <c r="A101" s="84" t="s">
        <v>1621</v>
      </c>
      <c r="B101" t="s">
        <v>1622</v>
      </c>
      <c r="C101" t="s">
        <v>1612</v>
      </c>
      <c r="D101" s="1" t="s">
        <v>1474</v>
      </c>
      <c r="E101" s="1"/>
      <c r="F101" s="84" t="s">
        <v>1354</v>
      </c>
      <c r="G101" s="1" t="s">
        <v>1354</v>
      </c>
      <c r="H101" s="84" t="s">
        <v>1354</v>
      </c>
      <c r="I101" s="84" t="s">
        <v>1358</v>
      </c>
      <c r="J101" s="84"/>
      <c r="K101" s="1" t="s">
        <v>1415</v>
      </c>
      <c r="L101" s="84" t="s">
        <v>1402</v>
      </c>
    </row>
    <row r="102" spans="1:12" x14ac:dyDescent="0.35">
      <c r="A102" s="84" t="s">
        <v>1623</v>
      </c>
      <c r="B102" t="s">
        <v>1624</v>
      </c>
      <c r="C102" t="s">
        <v>1625</v>
      </c>
      <c r="D102" s="1" t="s">
        <v>1398</v>
      </c>
      <c r="E102" s="1" t="s">
        <v>1399</v>
      </c>
      <c r="F102" s="84" t="s">
        <v>1354</v>
      </c>
      <c r="G102" s="1" t="s">
        <v>1354</v>
      </c>
      <c r="H102" s="84" t="s">
        <v>1354</v>
      </c>
      <c r="I102" s="84" t="s">
        <v>1358</v>
      </c>
      <c r="J102" s="84"/>
      <c r="K102" s="1" t="s">
        <v>1415</v>
      </c>
      <c r="L102" s="84" t="s">
        <v>1402</v>
      </c>
    </row>
    <row r="103" spans="1:12" ht="29" x14ac:dyDescent="0.35">
      <c r="A103" s="84" t="s">
        <v>1626</v>
      </c>
      <c r="B103" t="s">
        <v>1627</v>
      </c>
      <c r="C103" t="s">
        <v>1625</v>
      </c>
      <c r="D103" s="1" t="s">
        <v>1418</v>
      </c>
      <c r="E103" s="1" t="s">
        <v>1414</v>
      </c>
      <c r="F103" s="84" t="s">
        <v>1354</v>
      </c>
      <c r="G103" s="1" t="s">
        <v>1354</v>
      </c>
      <c r="H103" s="84" t="s">
        <v>1354</v>
      </c>
      <c r="I103" s="84" t="s">
        <v>1358</v>
      </c>
      <c r="J103" s="84"/>
      <c r="K103" s="1" t="s">
        <v>1415</v>
      </c>
      <c r="L103" s="84" t="s">
        <v>1402</v>
      </c>
    </row>
    <row r="104" spans="1:12" ht="29" x14ac:dyDescent="0.35">
      <c r="A104" s="84" t="s">
        <v>1628</v>
      </c>
      <c r="B104" t="s">
        <v>1629</v>
      </c>
      <c r="C104" t="s">
        <v>1625</v>
      </c>
      <c r="D104" s="1" t="s">
        <v>1418</v>
      </c>
      <c r="E104" s="1" t="s">
        <v>1414</v>
      </c>
      <c r="F104" s="84" t="s">
        <v>1354</v>
      </c>
      <c r="G104" s="1" t="s">
        <v>1354</v>
      </c>
      <c r="H104" s="84" t="s">
        <v>1354</v>
      </c>
      <c r="I104" s="84" t="s">
        <v>1358</v>
      </c>
      <c r="J104" s="84"/>
      <c r="K104" s="1" t="s">
        <v>1415</v>
      </c>
      <c r="L104" s="84" t="s">
        <v>1402</v>
      </c>
    </row>
    <row r="105" spans="1:12" x14ac:dyDescent="0.35">
      <c r="A105" s="84" t="s">
        <v>1630</v>
      </c>
      <c r="B105" t="s">
        <v>1631</v>
      </c>
      <c r="C105" t="s">
        <v>1625</v>
      </c>
      <c r="D105" s="1" t="s">
        <v>1422</v>
      </c>
      <c r="E105" s="1" t="s">
        <v>1423</v>
      </c>
      <c r="F105" s="84" t="s">
        <v>1354</v>
      </c>
      <c r="G105" s="1" t="s">
        <v>1354</v>
      </c>
      <c r="H105" s="84" t="s">
        <v>1354</v>
      </c>
      <c r="I105" s="84" t="s">
        <v>1358</v>
      </c>
      <c r="J105" s="84"/>
      <c r="K105" s="1" t="s">
        <v>1415</v>
      </c>
      <c r="L105" s="84" t="s">
        <v>1402</v>
      </c>
    </row>
    <row r="106" spans="1:12" x14ac:dyDescent="0.35">
      <c r="A106" s="84" t="s">
        <v>1632</v>
      </c>
      <c r="B106" t="s">
        <v>1633</v>
      </c>
      <c r="C106" t="s">
        <v>1625</v>
      </c>
      <c r="D106" s="1" t="s">
        <v>1429</v>
      </c>
      <c r="E106" s="1"/>
      <c r="F106" s="84" t="s">
        <v>1354</v>
      </c>
      <c r="G106" s="1" t="s">
        <v>1354</v>
      </c>
      <c r="H106" s="84" t="s">
        <v>1354</v>
      </c>
      <c r="I106" s="84" t="s">
        <v>1358</v>
      </c>
      <c r="J106" s="84"/>
      <c r="K106" s="1" t="s">
        <v>1415</v>
      </c>
      <c r="L106" s="84" t="s">
        <v>1402</v>
      </c>
    </row>
    <row r="107" spans="1:12" x14ac:dyDescent="0.35">
      <c r="A107" s="84" t="s">
        <v>1634</v>
      </c>
      <c r="B107" t="s">
        <v>1635</v>
      </c>
      <c r="C107" t="s">
        <v>1625</v>
      </c>
      <c r="D107" s="1" t="s">
        <v>1432</v>
      </c>
      <c r="E107" s="1"/>
      <c r="F107" s="84" t="s">
        <v>1354</v>
      </c>
      <c r="G107" s="1" t="s">
        <v>1354</v>
      </c>
      <c r="H107" s="84" t="s">
        <v>1354</v>
      </c>
      <c r="I107" s="84" t="s">
        <v>1358</v>
      </c>
      <c r="J107" s="84"/>
      <c r="K107" s="1" t="s">
        <v>1415</v>
      </c>
      <c r="L107" s="84" t="s">
        <v>1402</v>
      </c>
    </row>
    <row r="108" spans="1:12" x14ac:dyDescent="0.35">
      <c r="A108" s="84" t="s">
        <v>1636</v>
      </c>
      <c r="B108" t="s">
        <v>1637</v>
      </c>
      <c r="C108" t="s">
        <v>1625</v>
      </c>
      <c r="D108" s="1" t="s">
        <v>1436</v>
      </c>
      <c r="E108" s="1"/>
      <c r="F108" s="84" t="s">
        <v>1354</v>
      </c>
      <c r="G108" s="1" t="s">
        <v>1354</v>
      </c>
      <c r="H108" s="84" t="s">
        <v>1354</v>
      </c>
      <c r="I108" s="84" t="s">
        <v>1358</v>
      </c>
      <c r="J108" s="84"/>
      <c r="K108" s="1" t="s">
        <v>1415</v>
      </c>
      <c r="L108" s="84" t="s">
        <v>1402</v>
      </c>
    </row>
    <row r="109" spans="1:12" x14ac:dyDescent="0.35">
      <c r="A109" s="84" t="s">
        <v>1638</v>
      </c>
      <c r="B109" t="s">
        <v>1639</v>
      </c>
      <c r="C109" t="s">
        <v>1625</v>
      </c>
      <c r="D109" s="1" t="s">
        <v>1440</v>
      </c>
      <c r="E109" s="1" t="s">
        <v>1441</v>
      </c>
      <c r="F109" s="84" t="s">
        <v>1354</v>
      </c>
      <c r="G109" s="1" t="s">
        <v>1354</v>
      </c>
      <c r="H109" s="84" t="s">
        <v>1354</v>
      </c>
      <c r="I109" s="84" t="s">
        <v>1358</v>
      </c>
      <c r="J109" s="84"/>
      <c r="K109" s="1" t="s">
        <v>1415</v>
      </c>
      <c r="L109" s="84" t="s">
        <v>1402</v>
      </c>
    </row>
    <row r="110" spans="1:12" x14ac:dyDescent="0.35">
      <c r="A110" s="84" t="s">
        <v>1640</v>
      </c>
      <c r="B110" t="s">
        <v>1641</v>
      </c>
      <c r="C110" t="s">
        <v>1625</v>
      </c>
      <c r="D110" s="1" t="s">
        <v>1444</v>
      </c>
      <c r="E110" s="1" t="s">
        <v>1384</v>
      </c>
      <c r="F110" s="84" t="s">
        <v>1354</v>
      </c>
      <c r="G110" s="1" t="s">
        <v>1354</v>
      </c>
      <c r="H110" s="84" t="s">
        <v>1354</v>
      </c>
      <c r="I110" s="84" t="s">
        <v>1358</v>
      </c>
      <c r="J110" s="84"/>
      <c r="K110" s="1" t="s">
        <v>1415</v>
      </c>
      <c r="L110" s="84" t="s">
        <v>1402</v>
      </c>
    </row>
    <row r="111" spans="1:12" x14ac:dyDescent="0.35">
      <c r="A111" s="84" t="s">
        <v>1642</v>
      </c>
      <c r="B111" t="s">
        <v>1643</v>
      </c>
      <c r="C111" t="s">
        <v>1625</v>
      </c>
      <c r="D111" s="1" t="s">
        <v>1447</v>
      </c>
      <c r="E111" s="1" t="s">
        <v>1381</v>
      </c>
      <c r="F111" s="84" t="s">
        <v>1354</v>
      </c>
      <c r="G111" s="1" t="s">
        <v>1354</v>
      </c>
      <c r="H111" s="84" t="s">
        <v>1354</v>
      </c>
      <c r="I111" s="84" t="s">
        <v>1358</v>
      </c>
      <c r="J111" s="84"/>
      <c r="K111" s="1" t="s">
        <v>1415</v>
      </c>
      <c r="L111" s="84" t="s">
        <v>1402</v>
      </c>
    </row>
    <row r="112" spans="1:12" x14ac:dyDescent="0.35">
      <c r="A112" s="84" t="s">
        <v>1644</v>
      </c>
      <c r="B112" t="s">
        <v>1645</v>
      </c>
      <c r="C112" t="s">
        <v>1625</v>
      </c>
      <c r="D112" s="1" t="s">
        <v>1474</v>
      </c>
      <c r="E112" s="1"/>
      <c r="F112" s="84" t="s">
        <v>1354</v>
      </c>
      <c r="G112" s="1" t="s">
        <v>1354</v>
      </c>
      <c r="H112" s="84" t="s">
        <v>1354</v>
      </c>
      <c r="I112" s="84" t="s">
        <v>1358</v>
      </c>
      <c r="J112" s="84"/>
      <c r="K112" s="1" t="s">
        <v>1415</v>
      </c>
      <c r="L112" s="84" t="s">
        <v>1402</v>
      </c>
    </row>
    <row r="113" spans="1:12" x14ac:dyDescent="0.35">
      <c r="A113" s="84" t="s">
        <v>1646</v>
      </c>
      <c r="B113" t="s">
        <v>1647</v>
      </c>
      <c r="C113" t="s">
        <v>1625</v>
      </c>
      <c r="D113" s="1" t="s">
        <v>1511</v>
      </c>
      <c r="E113" s="1" t="s">
        <v>1512</v>
      </c>
      <c r="F113" s="84" t="s">
        <v>1354</v>
      </c>
      <c r="G113" s="1" t="s">
        <v>1354</v>
      </c>
      <c r="H113" s="84" t="s">
        <v>1354</v>
      </c>
      <c r="I113" s="84" t="s">
        <v>1358</v>
      </c>
      <c r="J113" s="84"/>
      <c r="K113" s="1" t="s">
        <v>1415</v>
      </c>
      <c r="L113" s="84" t="s">
        <v>1402</v>
      </c>
    </row>
    <row r="114" spans="1:12" ht="29" x14ac:dyDescent="0.35">
      <c r="A114" s="84" t="s">
        <v>1648</v>
      </c>
      <c r="B114" t="s">
        <v>1649</v>
      </c>
      <c r="C114" t="s">
        <v>1650</v>
      </c>
      <c r="D114" s="1" t="s">
        <v>1418</v>
      </c>
      <c r="E114" s="1" t="s">
        <v>1414</v>
      </c>
      <c r="F114" s="84" t="s">
        <v>1354</v>
      </c>
      <c r="G114" s="1" t="s">
        <v>1354</v>
      </c>
      <c r="H114" s="84" t="s">
        <v>1354</v>
      </c>
      <c r="I114" s="84" t="s">
        <v>1358</v>
      </c>
      <c r="J114" s="84"/>
      <c r="K114" s="1" t="s">
        <v>1415</v>
      </c>
      <c r="L114" s="84" t="s">
        <v>1402</v>
      </c>
    </row>
    <row r="115" spans="1:12" x14ac:dyDescent="0.35">
      <c r="A115" s="84" t="s">
        <v>1651</v>
      </c>
      <c r="B115" t="s">
        <v>1652</v>
      </c>
      <c r="C115" t="s">
        <v>1650</v>
      </c>
      <c r="D115" s="1" t="s">
        <v>1429</v>
      </c>
      <c r="E115" s="1"/>
      <c r="F115" s="84" t="s">
        <v>1354</v>
      </c>
      <c r="G115" s="1" t="s">
        <v>1354</v>
      </c>
      <c r="H115" s="84" t="s">
        <v>1354</v>
      </c>
      <c r="I115" s="84" t="s">
        <v>1358</v>
      </c>
      <c r="J115" s="84"/>
      <c r="K115" s="1" t="s">
        <v>1415</v>
      </c>
      <c r="L115" s="84" t="s">
        <v>1402</v>
      </c>
    </row>
    <row r="116" spans="1:12" x14ac:dyDescent="0.35">
      <c r="A116" s="84" t="s">
        <v>1653</v>
      </c>
      <c r="B116" t="s">
        <v>1654</v>
      </c>
      <c r="C116" t="s">
        <v>1650</v>
      </c>
      <c r="D116" s="1" t="s">
        <v>1474</v>
      </c>
      <c r="E116" s="1"/>
      <c r="F116" s="84" t="s">
        <v>1354</v>
      </c>
      <c r="G116" s="1" t="s">
        <v>1354</v>
      </c>
      <c r="H116" s="84" t="s">
        <v>1354</v>
      </c>
      <c r="I116" s="84" t="s">
        <v>1358</v>
      </c>
      <c r="J116" s="84"/>
      <c r="K116" s="1" t="s">
        <v>1415</v>
      </c>
      <c r="L116" s="84" t="s">
        <v>1402</v>
      </c>
    </row>
    <row r="117" spans="1:12" ht="29" x14ac:dyDescent="0.35">
      <c r="A117" s="84" t="s">
        <v>1655</v>
      </c>
      <c r="B117" t="s">
        <v>1656</v>
      </c>
      <c r="C117" t="s">
        <v>1650</v>
      </c>
      <c r="D117" s="1" t="s">
        <v>1413</v>
      </c>
      <c r="E117" s="1" t="s">
        <v>1409</v>
      </c>
      <c r="F117" s="84" t="s">
        <v>1354</v>
      </c>
      <c r="G117" s="1" t="s">
        <v>1354</v>
      </c>
      <c r="H117" s="84" t="s">
        <v>1354</v>
      </c>
      <c r="I117" s="84" t="s">
        <v>1358</v>
      </c>
      <c r="J117" s="84"/>
      <c r="K117" s="1" t="s">
        <v>1415</v>
      </c>
      <c r="L117" s="84" t="s">
        <v>1402</v>
      </c>
    </row>
    <row r="118" spans="1:12" x14ac:dyDescent="0.35">
      <c r="A118" s="84" t="s">
        <v>1657</v>
      </c>
      <c r="B118" t="s">
        <v>1658</v>
      </c>
      <c r="C118" t="s">
        <v>1650</v>
      </c>
      <c r="D118" s="1" t="s">
        <v>1413</v>
      </c>
      <c r="E118" s="1" t="s">
        <v>1414</v>
      </c>
      <c r="F118" s="84" t="s">
        <v>1354</v>
      </c>
      <c r="G118" s="1" t="s">
        <v>1354</v>
      </c>
      <c r="H118" s="84" t="s">
        <v>1354</v>
      </c>
      <c r="I118" s="84" t="s">
        <v>1358</v>
      </c>
      <c r="J118" s="84"/>
      <c r="K118" s="1" t="s">
        <v>1415</v>
      </c>
      <c r="L118" s="84" t="s">
        <v>1402</v>
      </c>
    </row>
    <row r="119" spans="1:12" x14ac:dyDescent="0.35">
      <c r="A119" s="84" t="s">
        <v>1659</v>
      </c>
      <c r="B119" t="s">
        <v>1660</v>
      </c>
      <c r="C119" t="s">
        <v>1650</v>
      </c>
      <c r="D119" s="1" t="s">
        <v>1429</v>
      </c>
      <c r="E119" s="1"/>
      <c r="F119" s="84" t="s">
        <v>1354</v>
      </c>
      <c r="G119" s="1" t="s">
        <v>1354</v>
      </c>
      <c r="H119" s="84" t="s">
        <v>1354</v>
      </c>
      <c r="I119" s="84" t="s">
        <v>1358</v>
      </c>
      <c r="J119" s="84"/>
      <c r="K119" s="1" t="s">
        <v>1415</v>
      </c>
      <c r="L119" s="84" t="s">
        <v>1402</v>
      </c>
    </row>
    <row r="120" spans="1:12" x14ac:dyDescent="0.35">
      <c r="A120" s="84" t="s">
        <v>1661</v>
      </c>
      <c r="B120" t="s">
        <v>1662</v>
      </c>
      <c r="C120" t="s">
        <v>1650</v>
      </c>
      <c r="D120" s="1" t="s">
        <v>1432</v>
      </c>
      <c r="E120" s="1"/>
      <c r="F120" s="84" t="s">
        <v>1354</v>
      </c>
      <c r="G120" s="1" t="s">
        <v>1354</v>
      </c>
      <c r="H120" s="84" t="s">
        <v>1354</v>
      </c>
      <c r="I120" s="84" t="s">
        <v>1358</v>
      </c>
      <c r="J120" s="84"/>
      <c r="K120" s="1" t="s">
        <v>1415</v>
      </c>
      <c r="L120" s="84" t="s">
        <v>1402</v>
      </c>
    </row>
    <row r="121" spans="1:12" x14ac:dyDescent="0.35">
      <c r="A121" s="84" t="s">
        <v>1663</v>
      </c>
      <c r="B121" t="s">
        <v>1664</v>
      </c>
      <c r="C121" t="s">
        <v>1650</v>
      </c>
      <c r="D121" s="1" t="s">
        <v>1440</v>
      </c>
      <c r="E121" s="1" t="s">
        <v>1441</v>
      </c>
      <c r="F121" s="84" t="s">
        <v>1354</v>
      </c>
      <c r="G121" s="1" t="s">
        <v>1354</v>
      </c>
      <c r="H121" s="84" t="s">
        <v>1354</v>
      </c>
      <c r="I121" s="84" t="s">
        <v>1358</v>
      </c>
      <c r="J121" s="84"/>
      <c r="K121" s="1" t="s">
        <v>1415</v>
      </c>
      <c r="L121" s="84" t="s">
        <v>1402</v>
      </c>
    </row>
    <row r="122" spans="1:12" x14ac:dyDescent="0.35">
      <c r="A122" s="84" t="s">
        <v>1665</v>
      </c>
      <c r="B122" t="s">
        <v>1666</v>
      </c>
      <c r="C122" t="s">
        <v>1650</v>
      </c>
      <c r="D122" s="1" t="s">
        <v>1444</v>
      </c>
      <c r="E122" s="1" t="s">
        <v>1384</v>
      </c>
      <c r="F122" s="84" t="s">
        <v>1354</v>
      </c>
      <c r="G122" s="1" t="s">
        <v>1354</v>
      </c>
      <c r="H122" s="84" t="s">
        <v>1354</v>
      </c>
      <c r="I122" s="84" t="s">
        <v>1358</v>
      </c>
      <c r="J122" s="84"/>
      <c r="K122" s="1" t="s">
        <v>1415</v>
      </c>
      <c r="L122" s="84" t="s">
        <v>1402</v>
      </c>
    </row>
    <row r="123" spans="1:12" x14ac:dyDescent="0.35">
      <c r="A123" s="84" t="s">
        <v>1667</v>
      </c>
      <c r="B123" t="s">
        <v>1668</v>
      </c>
      <c r="C123" t="s">
        <v>1650</v>
      </c>
      <c r="D123" s="1" t="s">
        <v>1511</v>
      </c>
      <c r="E123" s="1" t="s">
        <v>1512</v>
      </c>
      <c r="F123" s="84" t="s">
        <v>1354</v>
      </c>
      <c r="G123" s="1" t="s">
        <v>1354</v>
      </c>
      <c r="H123" s="84" t="s">
        <v>1354</v>
      </c>
      <c r="I123" s="84" t="s">
        <v>1358</v>
      </c>
      <c r="J123" s="84"/>
      <c r="K123" s="1" t="s">
        <v>1415</v>
      </c>
      <c r="L123" s="84" t="s">
        <v>1402</v>
      </c>
    </row>
    <row r="124" spans="1:12" x14ac:dyDescent="0.35">
      <c r="A124" s="84" t="s">
        <v>1669</v>
      </c>
      <c r="B124" t="s">
        <v>1670</v>
      </c>
      <c r="C124" t="s">
        <v>1671</v>
      </c>
      <c r="D124" s="1" t="s">
        <v>1398</v>
      </c>
      <c r="E124" s="1" t="s">
        <v>1399</v>
      </c>
      <c r="F124" s="84" t="s">
        <v>1354</v>
      </c>
      <c r="G124" s="1" t="s">
        <v>1354</v>
      </c>
      <c r="H124" s="84" t="s">
        <v>1354</v>
      </c>
      <c r="I124" s="84" t="s">
        <v>1358</v>
      </c>
      <c r="J124" s="84"/>
      <c r="K124" s="1" t="s">
        <v>1415</v>
      </c>
      <c r="L124" s="84" t="s">
        <v>1402</v>
      </c>
    </row>
    <row r="125" spans="1:12" ht="29" x14ac:dyDescent="0.35">
      <c r="A125" s="84" t="s">
        <v>1672</v>
      </c>
      <c r="B125" t="s">
        <v>1673</v>
      </c>
      <c r="C125" t="s">
        <v>1671</v>
      </c>
      <c r="D125" s="1" t="s">
        <v>1418</v>
      </c>
      <c r="E125" s="1" t="s">
        <v>1414</v>
      </c>
      <c r="F125" s="84" t="s">
        <v>1354</v>
      </c>
      <c r="G125" s="1" t="s">
        <v>1354</v>
      </c>
      <c r="H125" s="84" t="s">
        <v>1354</v>
      </c>
      <c r="I125" s="84" t="s">
        <v>1358</v>
      </c>
      <c r="J125" s="84"/>
      <c r="K125" s="1" t="s">
        <v>1415</v>
      </c>
      <c r="L125" s="84" t="s">
        <v>1402</v>
      </c>
    </row>
    <row r="126" spans="1:12" x14ac:dyDescent="0.35">
      <c r="A126" s="84" t="s">
        <v>1674</v>
      </c>
      <c r="B126" t="s">
        <v>1675</v>
      </c>
      <c r="C126" t="s">
        <v>1676</v>
      </c>
      <c r="D126" s="1" t="s">
        <v>1398</v>
      </c>
      <c r="E126" s="1" t="s">
        <v>1399</v>
      </c>
      <c r="F126" s="84" t="s">
        <v>1354</v>
      </c>
      <c r="G126" s="1" t="s">
        <v>1354</v>
      </c>
      <c r="H126" s="84" t="s">
        <v>1354</v>
      </c>
      <c r="I126" s="84" t="s">
        <v>1358</v>
      </c>
      <c r="J126" s="84"/>
      <c r="K126" s="1" t="s">
        <v>1415</v>
      </c>
      <c r="L126" s="84" t="s">
        <v>1402</v>
      </c>
    </row>
    <row r="127" spans="1:12" ht="29" x14ac:dyDescent="0.35">
      <c r="A127" s="84" t="s">
        <v>1677</v>
      </c>
      <c r="B127" t="s">
        <v>1678</v>
      </c>
      <c r="C127" t="s">
        <v>1676</v>
      </c>
      <c r="D127" s="1" t="s">
        <v>1418</v>
      </c>
      <c r="E127" s="1" t="s">
        <v>1414</v>
      </c>
      <c r="F127" s="84" t="s">
        <v>1354</v>
      </c>
      <c r="G127" s="1" t="s">
        <v>1354</v>
      </c>
      <c r="H127" s="84" t="s">
        <v>1354</v>
      </c>
      <c r="I127" s="84" t="s">
        <v>1358</v>
      </c>
      <c r="J127" s="84"/>
      <c r="K127" s="1" t="s">
        <v>1415</v>
      </c>
      <c r="L127" s="84" t="s">
        <v>1402</v>
      </c>
    </row>
    <row r="128" spans="1:12" x14ac:dyDescent="0.35">
      <c r="A128" s="84" t="s">
        <v>1679</v>
      </c>
      <c r="B128" t="s">
        <v>1680</v>
      </c>
      <c r="C128" t="s">
        <v>1681</v>
      </c>
      <c r="D128" s="1" t="s">
        <v>1398</v>
      </c>
      <c r="E128" s="1" t="s">
        <v>1399</v>
      </c>
      <c r="F128" s="84" t="s">
        <v>1354</v>
      </c>
      <c r="G128" s="1" t="s">
        <v>1354</v>
      </c>
      <c r="H128" s="84" t="s">
        <v>1354</v>
      </c>
      <c r="I128" s="84" t="s">
        <v>1358</v>
      </c>
      <c r="J128" s="84"/>
      <c r="K128" s="1" t="s">
        <v>1415</v>
      </c>
      <c r="L128" s="84" t="s">
        <v>1402</v>
      </c>
    </row>
    <row r="129" spans="1:12" ht="29" x14ac:dyDescent="0.35">
      <c r="A129" s="84" t="s">
        <v>1682</v>
      </c>
      <c r="B129" t="s">
        <v>1683</v>
      </c>
      <c r="C129" t="s">
        <v>1681</v>
      </c>
      <c r="D129" s="1" t="s">
        <v>1418</v>
      </c>
      <c r="E129" s="1" t="s">
        <v>1414</v>
      </c>
      <c r="F129" s="84" t="s">
        <v>1354</v>
      </c>
      <c r="G129" s="1" t="s">
        <v>1354</v>
      </c>
      <c r="H129" s="84" t="s">
        <v>1354</v>
      </c>
      <c r="I129" s="84" t="s">
        <v>1358</v>
      </c>
      <c r="J129" s="84"/>
      <c r="K129" s="1" t="s">
        <v>1415</v>
      </c>
      <c r="L129" s="84" t="s">
        <v>1402</v>
      </c>
    </row>
    <row r="130" spans="1:12" x14ac:dyDescent="0.35">
      <c r="A130" s="84" t="s">
        <v>1684</v>
      </c>
      <c r="B130" t="s">
        <v>1685</v>
      </c>
      <c r="C130" t="s">
        <v>1681</v>
      </c>
      <c r="D130" s="1" t="s">
        <v>1444</v>
      </c>
      <c r="E130" s="1" t="s">
        <v>1384</v>
      </c>
      <c r="F130" s="84" t="s">
        <v>1354</v>
      </c>
      <c r="G130" s="1" t="s">
        <v>1354</v>
      </c>
      <c r="H130" s="84" t="s">
        <v>1354</v>
      </c>
      <c r="I130" s="84" t="s">
        <v>1358</v>
      </c>
      <c r="J130" s="84"/>
      <c r="K130" s="1" t="s">
        <v>1415</v>
      </c>
      <c r="L130" s="84" t="s">
        <v>1402</v>
      </c>
    </row>
    <row r="131" spans="1:12" x14ac:dyDescent="0.35">
      <c r="A131" s="84" t="s">
        <v>1686</v>
      </c>
      <c r="B131" t="s">
        <v>1687</v>
      </c>
      <c r="C131" t="s">
        <v>95</v>
      </c>
      <c r="D131" s="1" t="s">
        <v>1398</v>
      </c>
      <c r="E131" s="1" t="s">
        <v>1399</v>
      </c>
      <c r="F131" s="84" t="s">
        <v>1354</v>
      </c>
      <c r="G131" s="1" t="s">
        <v>1354</v>
      </c>
      <c r="H131" s="84" t="s">
        <v>1354</v>
      </c>
      <c r="I131" s="84" t="s">
        <v>1358</v>
      </c>
      <c r="J131" s="84"/>
      <c r="K131" s="1" t="s">
        <v>1415</v>
      </c>
      <c r="L131" s="84" t="s">
        <v>1402</v>
      </c>
    </row>
    <row r="132" spans="1:12" x14ac:dyDescent="0.35">
      <c r="A132" s="84" t="s">
        <v>1688</v>
      </c>
      <c r="B132" t="s">
        <v>1689</v>
      </c>
      <c r="C132" t="s">
        <v>95</v>
      </c>
      <c r="D132" s="1" t="s">
        <v>1432</v>
      </c>
      <c r="E132" s="1"/>
      <c r="F132" s="84" t="s">
        <v>1354</v>
      </c>
      <c r="G132" s="1" t="s">
        <v>1354</v>
      </c>
      <c r="H132" s="84" t="s">
        <v>1354</v>
      </c>
      <c r="I132" s="84" t="s">
        <v>1358</v>
      </c>
      <c r="J132" s="84"/>
      <c r="K132" s="1" t="s">
        <v>1690</v>
      </c>
      <c r="L132" s="84" t="s">
        <v>1402</v>
      </c>
    </row>
    <row r="133" spans="1:12" x14ac:dyDescent="0.35">
      <c r="A133" s="84" t="s">
        <v>1691</v>
      </c>
      <c r="B133" t="s">
        <v>1692</v>
      </c>
      <c r="C133" t="s">
        <v>95</v>
      </c>
      <c r="D133" s="1" t="s">
        <v>1413</v>
      </c>
      <c r="E133" s="1" t="s">
        <v>1414</v>
      </c>
      <c r="F133" s="84" t="s">
        <v>1354</v>
      </c>
      <c r="G133" s="1" t="s">
        <v>1354</v>
      </c>
      <c r="H133" s="84" t="s">
        <v>1354</v>
      </c>
      <c r="I133" s="84" t="s">
        <v>1358</v>
      </c>
      <c r="J133" s="84"/>
      <c r="K133" s="1" t="s">
        <v>1690</v>
      </c>
      <c r="L133" s="84" t="s">
        <v>1402</v>
      </c>
    </row>
    <row r="134" spans="1:12" ht="29" x14ac:dyDescent="0.35">
      <c r="A134" s="84" t="s">
        <v>1693</v>
      </c>
      <c r="B134" t="s">
        <v>1694</v>
      </c>
      <c r="C134" t="s">
        <v>95</v>
      </c>
      <c r="D134" s="1" t="s">
        <v>1418</v>
      </c>
      <c r="E134" s="1" t="s">
        <v>1414</v>
      </c>
      <c r="F134" s="84" t="s">
        <v>1354</v>
      </c>
      <c r="G134" s="1" t="s">
        <v>1354</v>
      </c>
      <c r="H134" s="84" t="s">
        <v>1354</v>
      </c>
      <c r="I134" s="84" t="s">
        <v>1358</v>
      </c>
      <c r="J134" s="84"/>
      <c r="K134" s="1" t="s">
        <v>1690</v>
      </c>
      <c r="L134" s="84" t="s">
        <v>1402</v>
      </c>
    </row>
    <row r="135" spans="1:12" x14ac:dyDescent="0.35">
      <c r="A135" s="84" t="s">
        <v>1695</v>
      </c>
      <c r="B135" t="s">
        <v>1696</v>
      </c>
      <c r="C135" t="s">
        <v>95</v>
      </c>
      <c r="D135" s="1" t="s">
        <v>1444</v>
      </c>
      <c r="E135" s="1" t="s">
        <v>1384</v>
      </c>
      <c r="F135" s="84" t="s">
        <v>1354</v>
      </c>
      <c r="G135" s="1" t="s">
        <v>1354</v>
      </c>
      <c r="H135" s="84" t="s">
        <v>1354</v>
      </c>
      <c r="I135" s="84" t="s">
        <v>1358</v>
      </c>
      <c r="J135" s="84"/>
      <c r="K135" s="1" t="s">
        <v>1415</v>
      </c>
      <c r="L135" s="84" t="s">
        <v>1402</v>
      </c>
    </row>
    <row r="136" spans="1:12" x14ac:dyDescent="0.35">
      <c r="A136" s="84" t="s">
        <v>1697</v>
      </c>
      <c r="B136" t="s">
        <v>1698</v>
      </c>
      <c r="C136" t="s">
        <v>1698</v>
      </c>
      <c r="D136" s="1" t="s">
        <v>1422</v>
      </c>
      <c r="E136" s="1" t="s">
        <v>1423</v>
      </c>
      <c r="F136" s="84" t="s">
        <v>1354</v>
      </c>
      <c r="G136" s="1" t="s">
        <v>1354</v>
      </c>
      <c r="H136" s="84" t="s">
        <v>1354</v>
      </c>
      <c r="I136" s="84" t="s">
        <v>1358</v>
      </c>
      <c r="J136" s="84"/>
      <c r="K136" s="1" t="s">
        <v>1699</v>
      </c>
      <c r="L136" s="84" t="s">
        <v>1402</v>
      </c>
    </row>
    <row r="137" spans="1:12" x14ac:dyDescent="0.35">
      <c r="A137" s="84" t="s">
        <v>1700</v>
      </c>
      <c r="B137" t="s">
        <v>1701</v>
      </c>
      <c r="C137" t="s">
        <v>1701</v>
      </c>
      <c r="D137" s="1" t="s">
        <v>1422</v>
      </c>
      <c r="E137" s="1" t="s">
        <v>1423</v>
      </c>
      <c r="F137" s="84" t="s">
        <v>1354</v>
      </c>
      <c r="G137" s="1" t="s">
        <v>1354</v>
      </c>
      <c r="H137" s="84" t="s">
        <v>1354</v>
      </c>
      <c r="I137" s="84" t="s">
        <v>1358</v>
      </c>
      <c r="J137" s="84"/>
      <c r="K137" s="1" t="s">
        <v>1415</v>
      </c>
      <c r="L137" s="84" t="s">
        <v>1402</v>
      </c>
    </row>
    <row r="138" spans="1:12" x14ac:dyDescent="0.35">
      <c r="A138" s="84" t="s">
        <v>1702</v>
      </c>
      <c r="B138" t="s">
        <v>1703</v>
      </c>
      <c r="C138" t="s">
        <v>1703</v>
      </c>
      <c r="D138" s="1" t="s">
        <v>1422</v>
      </c>
      <c r="E138" s="1" t="s">
        <v>1423</v>
      </c>
      <c r="F138" s="84" t="s">
        <v>1354</v>
      </c>
      <c r="G138" s="1" t="s">
        <v>1354</v>
      </c>
      <c r="H138" s="84" t="s">
        <v>1354</v>
      </c>
      <c r="I138" s="84" t="s">
        <v>1358</v>
      </c>
      <c r="J138" s="84"/>
      <c r="K138" s="1" t="s">
        <v>1415</v>
      </c>
      <c r="L138" s="84" t="s">
        <v>1402</v>
      </c>
    </row>
    <row r="139" spans="1:12" x14ac:dyDescent="0.35">
      <c r="A139" s="84" t="s">
        <v>1704</v>
      </c>
      <c r="B139" t="s">
        <v>1705</v>
      </c>
      <c r="C139" t="s">
        <v>1703</v>
      </c>
      <c r="D139" s="1" t="s">
        <v>1413</v>
      </c>
      <c r="E139" s="1" t="s">
        <v>1414</v>
      </c>
      <c r="F139" s="84" t="s">
        <v>1354</v>
      </c>
      <c r="G139" s="1" t="s">
        <v>1354</v>
      </c>
      <c r="H139" s="84" t="s">
        <v>1354</v>
      </c>
      <c r="I139" s="84" t="s">
        <v>1358</v>
      </c>
      <c r="J139" s="84"/>
      <c r="K139" s="1" t="s">
        <v>1415</v>
      </c>
      <c r="L139" s="84" t="s">
        <v>1402</v>
      </c>
    </row>
    <row r="140" spans="1:12" x14ac:dyDescent="0.35">
      <c r="A140" s="84" t="s">
        <v>1706</v>
      </c>
      <c r="B140" t="s">
        <v>1707</v>
      </c>
      <c r="C140" t="s">
        <v>1703</v>
      </c>
      <c r="D140" s="1" t="s">
        <v>1429</v>
      </c>
      <c r="E140" s="1"/>
      <c r="F140" s="84" t="s">
        <v>1354</v>
      </c>
      <c r="G140" s="1" t="s">
        <v>1354</v>
      </c>
      <c r="H140" s="84" t="s">
        <v>1354</v>
      </c>
      <c r="I140" s="84" t="s">
        <v>1358</v>
      </c>
      <c r="J140" s="84"/>
      <c r="K140" s="1" t="s">
        <v>1415</v>
      </c>
      <c r="L140" s="84" t="s">
        <v>1402</v>
      </c>
    </row>
    <row r="141" spans="1:12" ht="29" x14ac:dyDescent="0.35">
      <c r="A141" s="84" t="s">
        <v>1708</v>
      </c>
      <c r="B141" t="s">
        <v>46</v>
      </c>
      <c r="C141" t="s">
        <v>46</v>
      </c>
      <c r="D141" s="1" t="s">
        <v>1418</v>
      </c>
      <c r="E141" s="1" t="s">
        <v>1414</v>
      </c>
      <c r="F141" s="84" t="s">
        <v>1354</v>
      </c>
      <c r="G141" s="1" t="s">
        <v>1354</v>
      </c>
      <c r="H141" s="84" t="s">
        <v>1354</v>
      </c>
      <c r="I141" s="84" t="s">
        <v>1358</v>
      </c>
      <c r="J141" s="84"/>
      <c r="K141" s="1" t="s">
        <v>1709</v>
      </c>
      <c r="L141" s="84" t="s">
        <v>1402</v>
      </c>
    </row>
    <row r="142" spans="1:12" ht="29" x14ac:dyDescent="0.35">
      <c r="A142" s="84" t="s">
        <v>1710</v>
      </c>
      <c r="B142" t="s">
        <v>48</v>
      </c>
      <c r="C142" t="s">
        <v>46</v>
      </c>
      <c r="D142" s="1" t="s">
        <v>1418</v>
      </c>
      <c r="E142" s="1" t="s">
        <v>1414</v>
      </c>
      <c r="F142" s="84" t="s">
        <v>1354</v>
      </c>
      <c r="G142" s="1" t="s">
        <v>1354</v>
      </c>
      <c r="H142" s="84" t="s">
        <v>1354</v>
      </c>
      <c r="I142" s="84" t="s">
        <v>1358</v>
      </c>
      <c r="J142" s="84"/>
      <c r="K142" s="1" t="s">
        <v>1711</v>
      </c>
      <c r="L142" s="84" t="s">
        <v>1402</v>
      </c>
    </row>
  </sheetData>
  <mergeCells count="2">
    <mergeCell ref="A1:L1"/>
    <mergeCell ref="A2:L2"/>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514F1-AD5E-4BBB-BB26-0FEC7B2ABCB2}">
  <sheetPr>
    <tabColor rgb="FF555555"/>
  </sheetPr>
  <dimension ref="A1:AO40"/>
  <sheetViews>
    <sheetView workbookViewId="0">
      <selection activeCell="A2" sqref="A2:U2"/>
    </sheetView>
  </sheetViews>
  <sheetFormatPr baseColWidth="10" defaultRowHeight="14.5" x14ac:dyDescent="0.35"/>
  <cols>
    <col min="2" max="2" width="16.81640625" bestFit="1" customWidth="1"/>
    <col min="3" max="3" width="19.6328125" bestFit="1" customWidth="1"/>
    <col min="4" max="4" width="20.36328125" bestFit="1" customWidth="1"/>
    <col min="10" max="10" width="22.36328125" bestFit="1" customWidth="1"/>
    <col min="11" max="11" width="10" bestFit="1" customWidth="1"/>
    <col min="12" max="12" width="15.81640625" bestFit="1" customWidth="1"/>
    <col min="14" max="14" width="10.6328125" bestFit="1" customWidth="1"/>
    <col min="15" max="15" width="10.81640625" bestFit="1" customWidth="1"/>
    <col min="17" max="17" width="9.6328125" bestFit="1" customWidth="1"/>
    <col min="18" max="18" width="10" bestFit="1" customWidth="1"/>
    <col min="20" max="20" width="10.7265625" bestFit="1" customWidth="1"/>
    <col min="21" max="21" width="7.26953125" bestFit="1" customWidth="1"/>
    <col min="22" max="22" width="10" bestFit="1" customWidth="1"/>
    <col min="23" max="23" width="7.26953125" bestFit="1" customWidth="1"/>
    <col min="25" max="25" width="9.08984375" bestFit="1" customWidth="1"/>
    <col min="26" max="26" width="5.453125" bestFit="1" customWidth="1"/>
    <col min="28" max="28" width="8.81640625" bestFit="1" customWidth="1"/>
    <col min="29" max="29" width="10.6328125" bestFit="1" customWidth="1"/>
    <col min="30" max="30" width="32.7265625" bestFit="1" customWidth="1"/>
    <col min="31" max="31" width="7.08984375" bestFit="1" customWidth="1"/>
    <col min="32" max="32" width="10.6328125" bestFit="1" customWidth="1"/>
    <col min="33" max="33" width="10.26953125" bestFit="1" customWidth="1"/>
    <col min="36" max="36" width="10.1796875" bestFit="1" customWidth="1"/>
    <col min="38" max="38" width="10.81640625" bestFit="1" customWidth="1"/>
    <col min="40" max="40" width="10.81640625" bestFit="1" customWidth="1"/>
  </cols>
  <sheetData>
    <row r="1" spans="1:41" ht="58" x14ac:dyDescent="0.35">
      <c r="A1" s="1" t="s">
        <v>1730</v>
      </c>
      <c r="B1" s="1" t="s">
        <v>1731</v>
      </c>
      <c r="C1" s="1" t="s">
        <v>1367</v>
      </c>
      <c r="D1" s="1" t="s">
        <v>1732</v>
      </c>
      <c r="E1" s="1" t="s">
        <v>1733</v>
      </c>
      <c r="F1" s="1" t="s">
        <v>1734</v>
      </c>
      <c r="G1" s="1" t="s">
        <v>1735</v>
      </c>
      <c r="H1" s="1" t="s">
        <v>1943</v>
      </c>
      <c r="I1" s="1"/>
      <c r="J1" s="1" t="s">
        <v>1899</v>
      </c>
      <c r="K1" s="1" t="s">
        <v>1900</v>
      </c>
      <c r="L1" s="1" t="s">
        <v>1208</v>
      </c>
      <c r="M1" s="1" t="s">
        <v>1901</v>
      </c>
      <c r="N1" s="1" t="s">
        <v>1902</v>
      </c>
      <c r="O1" s="1" t="s">
        <v>1903</v>
      </c>
      <c r="P1" s="1" t="s">
        <v>1904</v>
      </c>
      <c r="Q1" s="1"/>
      <c r="R1" s="1" t="s">
        <v>1920</v>
      </c>
      <c r="S1" s="1"/>
      <c r="T1" s="1" t="s">
        <v>1367</v>
      </c>
      <c r="U1" s="1" t="s">
        <v>1732</v>
      </c>
      <c r="V1" s="1"/>
      <c r="W1" s="1"/>
      <c r="X1" s="1"/>
      <c r="Y1" s="1"/>
      <c r="Z1" s="1"/>
      <c r="AA1" s="1"/>
      <c r="AB1" s="1"/>
      <c r="AC1" s="1"/>
      <c r="AD1" s="1"/>
      <c r="AE1" s="1"/>
      <c r="AF1" s="1"/>
      <c r="AG1" s="1"/>
      <c r="AH1" s="1"/>
      <c r="AI1" s="1"/>
      <c r="AJ1" s="1" t="s">
        <v>1921</v>
      </c>
      <c r="AK1" s="1" t="s">
        <v>1922</v>
      </c>
      <c r="AL1" s="1" t="s">
        <v>1923</v>
      </c>
      <c r="AM1" s="1" t="s">
        <v>1924</v>
      </c>
      <c r="AN1" s="1"/>
      <c r="AO1" s="1" t="s">
        <v>1920</v>
      </c>
    </row>
    <row r="2" spans="1:41" ht="101.5" x14ac:dyDescent="0.35">
      <c r="A2" s="1" t="s">
        <v>1736</v>
      </c>
      <c r="B2" s="1" t="s">
        <v>1737</v>
      </c>
      <c r="C2" s="1" t="s">
        <v>1384</v>
      </c>
      <c r="D2" s="1" t="s">
        <v>1385</v>
      </c>
      <c r="E2" s="1" t="s">
        <v>1738</v>
      </c>
      <c r="F2" s="1" t="s">
        <v>1739</v>
      </c>
      <c r="G2" s="1" t="s">
        <v>1740</v>
      </c>
      <c r="H2" s="1"/>
      <c r="I2" s="1"/>
      <c r="J2" s="1" t="s">
        <v>1399</v>
      </c>
      <c r="K2" s="1" t="s">
        <v>1905</v>
      </c>
      <c r="L2" s="1" t="s">
        <v>1320</v>
      </c>
      <c r="M2" s="1" t="s">
        <v>1341</v>
      </c>
      <c r="N2" s="1" t="s">
        <v>4</v>
      </c>
      <c r="O2" s="1" t="s">
        <v>6</v>
      </c>
      <c r="P2" s="1" t="s">
        <v>52</v>
      </c>
      <c r="Q2" s="1"/>
      <c r="R2" s="1"/>
      <c r="S2" s="1"/>
      <c r="T2" s="1" t="str">
        <f>IFERROR(_xlfn.XLOOKUP('Boussole IA'!$A$9,TableauBoussoleBesoins[Résultat concret],TableauBoussoleBesoins[Capacité principale]),"")</f>
        <v>Génération et rédaction de texte</v>
      </c>
      <c r="U2" s="1" t="str">
        <f>_xlfn.LET(_xlpm.x,_xlfn.XLOOKUP('Boussole IA'!$A$9,TableauBoussoleBesoins[Résultat concret],TableauBoussoleBesoins[Capacité secondaire],""),IF(_xlpm.x=0,"",_xlpm.x))</f>
        <v/>
      </c>
      <c r="V2" s="1"/>
      <c r="W2" s="1"/>
      <c r="X2" s="1"/>
      <c r="Y2" s="1"/>
      <c r="Z2" s="1"/>
      <c r="AA2" s="1"/>
      <c r="AB2" s="1"/>
      <c r="AC2" s="1"/>
      <c r="AD2" s="1"/>
      <c r="AE2" s="1"/>
      <c r="AF2" s="1"/>
      <c r="AG2" s="1"/>
      <c r="AH2" s="1"/>
      <c r="AI2" s="1"/>
      <c r="AJ2" s="1" t="s">
        <v>1736</v>
      </c>
      <c r="AK2" s="1" t="s">
        <v>1925</v>
      </c>
      <c r="AL2" s="1" t="s">
        <v>1713</v>
      </c>
      <c r="AM2" s="1" t="s">
        <v>1936</v>
      </c>
      <c r="AN2" s="1"/>
      <c r="AO2" s="1" t="str" cm="1">
        <f t="array" ref="AO2:AO6">_xlfn._xlws.FILTER(TableauBoussoleBesoins[Résultat concret],TableauBoussoleBesoins[Objectif]='Boussole IA'!$A$6)</f>
        <v>Produire un premier brouillon</v>
      </c>
    </row>
    <row r="3" spans="1:41" ht="116" x14ac:dyDescent="0.35">
      <c r="A3" s="1" t="s">
        <v>1736</v>
      </c>
      <c r="B3" s="1" t="s">
        <v>1741</v>
      </c>
      <c r="C3" s="1" t="s">
        <v>1384</v>
      </c>
      <c r="D3" s="1" t="s">
        <v>1387</v>
      </c>
      <c r="E3" s="1" t="s">
        <v>1742</v>
      </c>
      <c r="F3" s="1" t="s">
        <v>1743</v>
      </c>
      <c r="G3" s="1" t="s">
        <v>1744</v>
      </c>
      <c r="H3" s="1"/>
      <c r="I3" s="1"/>
      <c r="J3" s="1" t="s">
        <v>1389</v>
      </c>
      <c r="K3" s="1" t="s">
        <v>1906</v>
      </c>
      <c r="L3" s="1" t="s">
        <v>1325</v>
      </c>
      <c r="M3" s="1" t="s">
        <v>1341</v>
      </c>
      <c r="N3" s="1" t="s">
        <v>4</v>
      </c>
      <c r="O3" s="1" t="s">
        <v>332</v>
      </c>
      <c r="P3" s="1" t="s">
        <v>206</v>
      </c>
      <c r="Q3" s="1"/>
      <c r="R3" s="1"/>
      <c r="S3" s="1"/>
      <c r="T3" s="1"/>
      <c r="U3" s="1"/>
      <c r="V3" s="1"/>
      <c r="W3" s="1"/>
      <c r="X3" s="1"/>
      <c r="Y3" s="1"/>
      <c r="Z3" s="1"/>
      <c r="AA3" s="1"/>
      <c r="AB3" s="1"/>
      <c r="AC3" s="1"/>
      <c r="AD3" s="1"/>
      <c r="AE3" s="1"/>
      <c r="AF3" s="1"/>
      <c r="AG3" s="1"/>
      <c r="AH3" s="1"/>
      <c r="AI3" s="1"/>
      <c r="AJ3" s="1" t="s">
        <v>1753</v>
      </c>
      <c r="AK3" s="1" t="s">
        <v>1926</v>
      </c>
      <c r="AL3" s="1" t="s">
        <v>1930</v>
      </c>
      <c r="AM3" s="1" t="s">
        <v>1937</v>
      </c>
      <c r="AN3" s="1"/>
      <c r="AO3" s="1" t="str">
        <v>Répondre à un e-mail</v>
      </c>
    </row>
    <row r="4" spans="1:41" ht="130.5" x14ac:dyDescent="0.35">
      <c r="A4" s="1" t="s">
        <v>1736</v>
      </c>
      <c r="B4" s="1" t="s">
        <v>1745</v>
      </c>
      <c r="C4" s="1" t="s">
        <v>1399</v>
      </c>
      <c r="D4" s="1" t="s">
        <v>1384</v>
      </c>
      <c r="E4" s="1" t="s">
        <v>1746</v>
      </c>
      <c r="F4" s="1" t="s">
        <v>1747</v>
      </c>
      <c r="G4" s="1" t="s">
        <v>1748</v>
      </c>
      <c r="H4" s="1"/>
      <c r="I4" s="1"/>
      <c r="J4" s="1" t="s">
        <v>1388</v>
      </c>
      <c r="K4" s="1" t="s">
        <v>1907</v>
      </c>
      <c r="L4" s="1" t="s">
        <v>1317</v>
      </c>
      <c r="M4" s="1" t="s">
        <v>1341</v>
      </c>
      <c r="N4" s="1" t="s">
        <v>80</v>
      </c>
      <c r="O4" s="1" t="s">
        <v>4</v>
      </c>
      <c r="P4" s="1" t="s">
        <v>6</v>
      </c>
      <c r="Q4" s="1"/>
      <c r="R4" s="1" t="s">
        <v>686</v>
      </c>
      <c r="S4" s="1" t="s">
        <v>97</v>
      </c>
      <c r="T4" s="1" t="s">
        <v>1394</v>
      </c>
      <c r="U4" s="1" t="s">
        <v>943</v>
      </c>
      <c r="V4" s="1" t="s">
        <v>1349</v>
      </c>
      <c r="W4" s="1" t="s">
        <v>1941</v>
      </c>
      <c r="X4" s="1" t="s">
        <v>362</v>
      </c>
      <c r="Y4" s="1" t="s">
        <v>1352</v>
      </c>
      <c r="Z4" s="1" t="s">
        <v>700</v>
      </c>
      <c r="AA4" s="1" t="s">
        <v>1942</v>
      </c>
      <c r="AB4" s="1"/>
      <c r="AC4" s="1" t="s">
        <v>1943</v>
      </c>
      <c r="AD4" s="1" t="s">
        <v>439</v>
      </c>
      <c r="AE4" s="1" t="s">
        <v>4</v>
      </c>
      <c r="AF4" s="1" t="s">
        <v>700</v>
      </c>
      <c r="AG4" s="1" t="s">
        <v>691</v>
      </c>
      <c r="AH4" s="1" t="s">
        <v>692</v>
      </c>
      <c r="AI4" s="1"/>
      <c r="AJ4" s="1" t="s">
        <v>1773</v>
      </c>
      <c r="AK4" s="1" t="s">
        <v>1927</v>
      </c>
      <c r="AL4" s="1" t="s">
        <v>1931</v>
      </c>
      <c r="AM4" s="1" t="s">
        <v>1938</v>
      </c>
      <c r="AN4" s="1"/>
      <c r="AO4" s="1" t="str">
        <v>Reformuler ou simplifier un texte</v>
      </c>
    </row>
    <row r="5" spans="1:41" ht="72.5" x14ac:dyDescent="0.35">
      <c r="A5" s="1" t="s">
        <v>1736</v>
      </c>
      <c r="B5" s="1" t="s">
        <v>1749</v>
      </c>
      <c r="C5" s="1" t="s">
        <v>1384</v>
      </c>
      <c r="D5" s="1" t="s">
        <v>1385</v>
      </c>
      <c r="E5" s="1" t="s">
        <v>1750</v>
      </c>
      <c r="F5" s="1" t="s">
        <v>1751</v>
      </c>
      <c r="G5" s="1" t="s">
        <v>1752</v>
      </c>
      <c r="H5" s="1"/>
      <c r="I5" s="1"/>
      <c r="J5" s="1" t="s">
        <v>1383</v>
      </c>
      <c r="K5" s="1" t="s">
        <v>1908</v>
      </c>
      <c r="L5" s="1" t="s">
        <v>1325</v>
      </c>
      <c r="M5" s="1" t="s">
        <v>1341</v>
      </c>
      <c r="N5" s="1" t="s">
        <v>4</v>
      </c>
      <c r="O5" s="1" t="s">
        <v>6</v>
      </c>
      <c r="P5" s="1" t="s">
        <v>18</v>
      </c>
      <c r="Q5" s="1"/>
      <c r="R5" s="1" t="str" cm="1">
        <f t="array" ref="R5:AA8">_xlfn.LET(_xlpm.cap,$T$2,_xlpm.env,'Boussole IA'!$A$15,_xlpm.lvl,'Boussole IA'!$A$12,_xlpm.bud,'Boussole IA'!$A$18,_xlpm.ids,TableauOutils[ID Outil],_xlpm.nm,TableauOutils[Nom de l’outil],_xlpm.ed,TableauOutils[Éditeur],_xlpm.typ,TableauOutils[Type d’outil],_xlpm.cp,TableauOutils[Capacités principales],_xlpm.cost,TableauOutils[Coût],_xlpm.off,TableauOutils[Offre / abonnement requis],_xlpm.lev,TableauOutils[Niveau requis],_xlpm.av,TableauOutils[Disponibilité],_xlpm.st,TableauOutils[Statut],_xlpm.has,--ISNUMBER(SEARCH(_xlpm.cap,_xlpm.cp)),_xlpm.envScore,_xlfn.SWITCH(_xlpm.env,"Microsoft 365 / Copilot",--(_xlpm.ed="Microsoft"),"ChatGPT / OpenAI",--(_xlpm.ed="OpenAI"),"Claude / Anthropic",--(_xlpm.ed="Anthropic"),"Google / Gemini",--(_xlpm.ed="Google"),"Applications métier de mon organisation",--((ISNUMBER(SEARCH("Assistance",_xlpm.typ))+ISNUMBER(SEARCH("métier",_xlpm.typ))+ISNUMBER(SEARCH("Analyse",_xlpm.typ)))&gt;0),"Outils de développement",--((ISNUMBER(SEARCH("Développement",_xlpm.typ))+ISNUMBER(SEARCH("Plateforme",_xlpm.typ))+ISNUMBER(SEARCH("API",_xlpm.typ)))&gt;0),1),_xlpm.lvlScore,_xlfn.SWITCH(_xlpm.lvl,"Découvrir",--((_xlpm.lev="Débutant")+(_xlpm.lev="Inconnu")&gt;0),"Pratiquer",--((_xlpm.lev="Débutant")+(_xlpm.lev="Intermédiaire")+(_xlpm.lev="Inconnu")&gt;0),"Approfondir",--((_xlpm.lev="Intermédiaire")+(_xlpm.lev="Avancé")+(_xlpm.lev="Inconnu")&gt;0),"Construire",--((_xlpm.lev="Avancé")+(_xlpm.lev="Inconnu")&gt;0),1),_xlpm.budScore,_xlfn.SWITCH(_xlpm.bud,"Je veux d’abord explorer les options gratuites",--((_xlpm.cost="Gratuit")+(_xlpm.cost="Freemium")&gt;0),"Je veux utiliser les outils déjà disponibles dans mon organisation",--(_xlpm.cost="Inclus dans une offre"),"Une solution payante est envisageable",--(_xlpm.cost="Payant"),0),_xlpm.score,_xlpm.has*100+_xlpm.envScore*12+_xlpm.lvlScore*3+_xlpm.budScore*2,_xlpm.data,_xlfn.HSTACK(_xlpm.ids,_xlpm.nm,_xlpm.ed,_xlpm.typ,_xlpm.cost,_xlpm.off,_xlpm.lev,_xlpm.av,_xlpm.st,_xlpm.score),IF(_xlpm.cap="","",IFERROR(_xlfn.SORTBY(_xlfn._xlws.FILTER(_xlpm.data,_xlpm.has=1),_xlfn._xlws.FILTER(_xlpm.score,_xlpm.has=1),-1),"")))</f>
        <v>OUT-002</v>
      </c>
      <c r="S5" s="1" t="str">
        <v>Microsoft 365 Copilot</v>
      </c>
      <c r="T5" s="1" t="str">
        <v>Microsoft</v>
      </c>
      <c r="U5" s="1" t="str">
        <v>Assistance au travail quotidien</v>
      </c>
      <c r="V5" s="1" t="str">
        <v>Inconnu</v>
      </c>
      <c r="W5" s="1" t="str">
        <v>Licence Microsoft 365 Copilot</v>
      </c>
      <c r="X5" s="1" t="str">
        <v>Inconnu</v>
      </c>
      <c r="Y5" s="1" t="str">
        <v>Limité / dépend de l’offre</v>
      </c>
      <c r="Z5" s="1" t="str">
        <v>Référencé</v>
      </c>
      <c r="AA5" s="1">
        <v>115</v>
      </c>
      <c r="AB5" s="1"/>
      <c r="AC5" s="1" t="str" cm="1">
        <f t="array" ref="AC5">_xlfn.LET(_xlpm.raw,_xlfn.XLOOKUP('Boussole IA'!$A$9,TableauBoussoleBesoins[Résultat concret],TableauBoussoleBesoins[ID Prompt],""),_xlpm.target,IF(_xlpm.raw=0,"",_xlpm.raw),_xlpm.env,'Boussole IA'!$A$15,_xlpm.id,BibliothequePrompts[ID],_xlpm.ttl,BibliothequePrompts[Titre],_xlpm.p,BibliothequePrompts[Prompt],_xlpm.st,BibliothequePrompts[Statut d’exécution],_xlpm.vars,BibliothequePrompts[Variables],_xlpm.pre,BibliothequePrompts[Prérequis],_xlpm.penv,BibliothequePrompts[Environnement / écosystème],_xlpm.keep,(_xlpm.id=_xlpm.target)*IF(_xlpm.env="Je ne sais pas / je veux comparer",1,--(_xlpm.penv=_xlpm.env)),_xlpm.data,_xlfn.HSTACK(_xlpm.id,_xlpm.ttl,_xlpm.p,_xlpm.st,_xlpm.vars,_xlpm.pre),IF(_xlpm.target="","",IFERROR(_xlfn._xlws.FILTER(_xlpm.data,_xlpm.keep),"")))</f>
        <v/>
      </c>
      <c r="AD5" s="1"/>
      <c r="AE5" s="1"/>
      <c r="AF5" s="1"/>
      <c r="AG5" s="1"/>
      <c r="AH5" s="1"/>
      <c r="AI5" s="1"/>
      <c r="AJ5" s="1" t="s">
        <v>1789</v>
      </c>
      <c r="AK5" s="1" t="s">
        <v>1928</v>
      </c>
      <c r="AL5" s="1" t="s">
        <v>1932</v>
      </c>
      <c r="AM5" s="1" t="s">
        <v>1939</v>
      </c>
      <c r="AN5" s="1"/>
      <c r="AO5" s="1" t="str">
        <v>Adapter le ton ou le contenu à un public</v>
      </c>
    </row>
    <row r="6" spans="1:41" ht="130.5" x14ac:dyDescent="0.35">
      <c r="A6" s="1" t="s">
        <v>1753</v>
      </c>
      <c r="B6" s="1" t="s">
        <v>1754</v>
      </c>
      <c r="C6" s="1" t="s">
        <v>1389</v>
      </c>
      <c r="D6" s="1"/>
      <c r="E6" s="1" t="s">
        <v>1755</v>
      </c>
      <c r="F6" s="1" t="s">
        <v>1756</v>
      </c>
      <c r="G6" s="1" t="s">
        <v>1757</v>
      </c>
      <c r="H6" s="1"/>
      <c r="I6" s="1"/>
      <c r="J6" s="1" t="s">
        <v>1384</v>
      </c>
      <c r="K6" s="1" t="s">
        <v>1909</v>
      </c>
      <c r="L6" s="1" t="s">
        <v>1318</v>
      </c>
      <c r="M6" s="1" t="s">
        <v>1342</v>
      </c>
      <c r="N6" s="1" t="s">
        <v>16</v>
      </c>
      <c r="O6" s="1" t="s">
        <v>353</v>
      </c>
      <c r="P6" s="1" t="s">
        <v>18</v>
      </c>
      <c r="Q6" s="1"/>
      <c r="R6" s="1" t="str">
        <v>OUT-017</v>
      </c>
      <c r="S6" s="1" t="str">
        <v>Microsoft PowerPoint</v>
      </c>
      <c r="T6" s="1" t="str">
        <v>Microsoft</v>
      </c>
      <c r="U6" s="1" t="str">
        <v>Création de documents et présentations</v>
      </c>
      <c r="V6" s="1" t="str">
        <v>Inconnu</v>
      </c>
      <c r="W6" s="1" t="str">
        <v>Inconnu</v>
      </c>
      <c r="X6" s="1" t="str">
        <v>Inconnu</v>
      </c>
      <c r="Y6" s="1" t="str">
        <v>À vérifier</v>
      </c>
      <c r="Z6" s="1" t="str">
        <v>Référencé</v>
      </c>
      <c r="AA6" s="1">
        <v>115</v>
      </c>
      <c r="AB6" s="1"/>
      <c r="AC6" s="1"/>
      <c r="AD6" s="1"/>
      <c r="AE6" s="1"/>
      <c r="AF6" s="1"/>
      <c r="AG6" s="1"/>
      <c r="AH6" s="1"/>
      <c r="AI6" s="1"/>
      <c r="AJ6" s="1" t="s">
        <v>1810</v>
      </c>
      <c r="AK6" s="1" t="s">
        <v>1929</v>
      </c>
      <c r="AL6" s="1" t="s">
        <v>1933</v>
      </c>
      <c r="AM6" s="1" t="s">
        <v>1940</v>
      </c>
      <c r="AN6" s="1"/>
      <c r="AO6" s="1" t="str">
        <v>Améliorer la clarté et la cohérence</v>
      </c>
    </row>
    <row r="7" spans="1:41" ht="145" x14ac:dyDescent="0.35">
      <c r="A7" s="1" t="s">
        <v>1753</v>
      </c>
      <c r="B7" s="1" t="s">
        <v>897</v>
      </c>
      <c r="C7" s="1" t="s">
        <v>1389</v>
      </c>
      <c r="D7" s="1" t="s">
        <v>1388</v>
      </c>
      <c r="E7" s="1" t="s">
        <v>1758</v>
      </c>
      <c r="F7" s="1" t="s">
        <v>1759</v>
      </c>
      <c r="G7" s="1" t="s">
        <v>1760</v>
      </c>
      <c r="H7" s="1" t="s">
        <v>896</v>
      </c>
      <c r="I7" s="1"/>
      <c r="J7" s="1" t="s">
        <v>1385</v>
      </c>
      <c r="K7" s="1" t="s">
        <v>1910</v>
      </c>
      <c r="L7" s="1"/>
      <c r="M7" s="1" t="s">
        <v>1341</v>
      </c>
      <c r="N7" s="1" t="s">
        <v>20</v>
      </c>
      <c r="O7" s="1" t="s">
        <v>357</v>
      </c>
      <c r="P7" s="1" t="s">
        <v>4</v>
      </c>
      <c r="Q7" s="1"/>
      <c r="R7" s="1" t="str">
        <v>OUT-018</v>
      </c>
      <c r="S7" s="1" t="str">
        <v>Microsoft Word</v>
      </c>
      <c r="T7" s="1" t="str">
        <v>Microsoft</v>
      </c>
      <c r="U7" s="1" t="str">
        <v>Création de documents et présentations</v>
      </c>
      <c r="V7" s="1" t="str">
        <v>Inconnu</v>
      </c>
      <c r="W7" s="1" t="str">
        <v>Inconnu</v>
      </c>
      <c r="X7" s="1" t="str">
        <v>Inconnu</v>
      </c>
      <c r="Y7" s="1" t="str">
        <v>À vérifier</v>
      </c>
      <c r="Z7" s="1" t="str">
        <v>Référencé</v>
      </c>
      <c r="AA7" s="1">
        <v>115</v>
      </c>
      <c r="AB7" s="1"/>
      <c r="AC7" s="1"/>
      <c r="AD7" s="1"/>
      <c r="AE7" s="1"/>
      <c r="AF7" s="1"/>
      <c r="AG7" s="1"/>
      <c r="AH7" s="1"/>
      <c r="AI7" s="1"/>
      <c r="AJ7" s="1" t="s">
        <v>1827</v>
      </c>
      <c r="AK7" s="1"/>
      <c r="AL7" s="1" t="s">
        <v>1934</v>
      </c>
      <c r="AM7" s="1"/>
      <c r="AN7" s="1"/>
      <c r="AO7" s="1"/>
    </row>
    <row r="8" spans="1:41" ht="130.5" x14ac:dyDescent="0.35">
      <c r="A8" s="1" t="s">
        <v>1753</v>
      </c>
      <c r="B8" s="1" t="s">
        <v>1761</v>
      </c>
      <c r="C8" s="1" t="s">
        <v>1388</v>
      </c>
      <c r="D8" s="1"/>
      <c r="E8" s="1" t="s">
        <v>1762</v>
      </c>
      <c r="F8" s="1" t="s">
        <v>1763</v>
      </c>
      <c r="G8" s="1" t="s">
        <v>1764</v>
      </c>
      <c r="H8" s="1" t="s">
        <v>878</v>
      </c>
      <c r="I8" s="1"/>
      <c r="J8" s="1" t="s">
        <v>1387</v>
      </c>
      <c r="K8" s="1" t="s">
        <v>1911</v>
      </c>
      <c r="L8" s="1"/>
      <c r="M8" s="1" t="s">
        <v>1341</v>
      </c>
      <c r="N8" s="1" t="s">
        <v>320</v>
      </c>
      <c r="O8" s="1" t="s">
        <v>340</v>
      </c>
      <c r="P8" s="1" t="s">
        <v>4</v>
      </c>
      <c r="Q8" s="1"/>
      <c r="R8" s="1" t="str">
        <v>OUT-032</v>
      </c>
      <c r="S8" s="1" t="str">
        <v>Microsoft Loop</v>
      </c>
      <c r="T8" s="1" t="str">
        <v>Microsoft</v>
      </c>
      <c r="U8" s="1" t="str">
        <v>Collaboration / Communication</v>
      </c>
      <c r="V8" s="1" t="str">
        <v>Inconnu</v>
      </c>
      <c r="W8" s="1" t="str">
        <v>Inconnu</v>
      </c>
      <c r="X8" s="1" t="str">
        <v>Inconnu</v>
      </c>
      <c r="Y8" s="1" t="str">
        <v>À vérifier</v>
      </c>
      <c r="Z8" s="1" t="str">
        <v>Référencé</v>
      </c>
      <c r="AA8" s="1">
        <v>115</v>
      </c>
      <c r="AB8" s="1"/>
      <c r="AC8" s="1"/>
      <c r="AD8" s="1"/>
      <c r="AE8" s="1"/>
      <c r="AF8" s="1"/>
      <c r="AG8" s="1"/>
      <c r="AH8" s="1"/>
      <c r="AI8" s="1"/>
      <c r="AJ8" s="1" t="s">
        <v>1844</v>
      </c>
      <c r="AK8" s="1"/>
      <c r="AL8" s="1" t="s">
        <v>1935</v>
      </c>
      <c r="AM8" s="1"/>
      <c r="AN8" s="1"/>
      <c r="AO8" s="1"/>
    </row>
    <row r="9" spans="1:41" ht="159.5" x14ac:dyDescent="0.35">
      <c r="A9" s="1" t="s">
        <v>1753</v>
      </c>
      <c r="B9" s="1" t="s">
        <v>1765</v>
      </c>
      <c r="C9" s="1" t="s">
        <v>1388</v>
      </c>
      <c r="D9" s="1"/>
      <c r="E9" s="1" t="s">
        <v>1766</v>
      </c>
      <c r="F9" s="1" t="s">
        <v>1767</v>
      </c>
      <c r="G9" s="1" t="s">
        <v>1768</v>
      </c>
      <c r="H9" s="1"/>
      <c r="I9" s="1"/>
      <c r="J9" s="1" t="s">
        <v>1381</v>
      </c>
      <c r="K9" s="1" t="s">
        <v>1912</v>
      </c>
      <c r="L9" s="1" t="s">
        <v>1319</v>
      </c>
      <c r="M9" s="1" t="s">
        <v>1347</v>
      </c>
      <c r="N9" s="1" t="s">
        <v>359</v>
      </c>
      <c r="O9" s="1" t="s">
        <v>220</v>
      </c>
      <c r="P9" s="1" t="s">
        <v>4</v>
      </c>
      <c r="Q9" s="1"/>
      <c r="R9" s="1"/>
      <c r="S9" s="1"/>
      <c r="T9" s="1"/>
      <c r="U9" s="1"/>
      <c r="V9" s="1"/>
      <c r="W9" s="1"/>
      <c r="X9" s="1"/>
      <c r="Y9" s="1"/>
      <c r="Z9" s="1"/>
      <c r="AA9" s="1"/>
      <c r="AB9" s="1"/>
      <c r="AC9" s="1"/>
      <c r="AD9" s="1"/>
      <c r="AE9" s="1"/>
      <c r="AF9" s="1"/>
      <c r="AG9" s="1"/>
      <c r="AH9" s="1"/>
      <c r="AI9" s="1"/>
      <c r="AJ9" s="1" t="s">
        <v>1861</v>
      </c>
      <c r="AK9" s="1"/>
      <c r="AL9" s="1"/>
      <c r="AM9" s="1"/>
      <c r="AN9" s="1"/>
      <c r="AO9" s="1"/>
    </row>
    <row r="10" spans="1:41" ht="130.5" x14ac:dyDescent="0.35">
      <c r="A10" s="1" t="s">
        <v>1753</v>
      </c>
      <c r="B10" s="1" t="s">
        <v>1769</v>
      </c>
      <c r="C10" s="1" t="s">
        <v>1388</v>
      </c>
      <c r="D10" s="1" t="s">
        <v>1387</v>
      </c>
      <c r="E10" s="1" t="s">
        <v>1770</v>
      </c>
      <c r="F10" s="1" t="s">
        <v>1771</v>
      </c>
      <c r="G10" s="1" t="s">
        <v>1772</v>
      </c>
      <c r="H10" s="1" t="s">
        <v>878</v>
      </c>
      <c r="I10" s="1"/>
      <c r="J10" s="1" t="s">
        <v>1382</v>
      </c>
      <c r="K10" s="1" t="s">
        <v>1913</v>
      </c>
      <c r="L10" s="1" t="s">
        <v>1322</v>
      </c>
      <c r="M10" s="1" t="s">
        <v>1341</v>
      </c>
      <c r="N10" s="1" t="s">
        <v>82</v>
      </c>
      <c r="O10" s="1" t="s">
        <v>292</v>
      </c>
      <c r="P10" s="1" t="s">
        <v>4</v>
      </c>
      <c r="Q10" s="1"/>
      <c r="R10" s="1"/>
      <c r="S10" s="1"/>
      <c r="T10" s="1"/>
      <c r="U10" s="1"/>
      <c r="V10" s="1"/>
      <c r="W10" s="1"/>
      <c r="X10" s="1"/>
      <c r="Y10" s="1"/>
      <c r="Z10" s="1"/>
      <c r="AA10" s="1"/>
      <c r="AB10" s="1"/>
      <c r="AC10" s="1"/>
      <c r="AD10" s="1"/>
      <c r="AE10" s="1"/>
      <c r="AF10" s="1"/>
      <c r="AG10" s="1"/>
      <c r="AH10" s="1"/>
      <c r="AI10" s="1"/>
      <c r="AJ10" s="1" t="s">
        <v>1878</v>
      </c>
      <c r="AK10" s="1"/>
      <c r="AL10" s="1"/>
      <c r="AM10" s="1"/>
      <c r="AN10" s="1"/>
      <c r="AO10" s="1"/>
    </row>
    <row r="11" spans="1:41" ht="87" x14ac:dyDescent="0.35">
      <c r="A11" s="1" t="s">
        <v>1773</v>
      </c>
      <c r="B11" s="1" t="s">
        <v>889</v>
      </c>
      <c r="C11" s="1" t="s">
        <v>1383</v>
      </c>
      <c r="D11" s="1"/>
      <c r="E11" s="1" t="s">
        <v>1774</v>
      </c>
      <c r="F11" s="1" t="s">
        <v>1775</v>
      </c>
      <c r="G11" s="1" t="s">
        <v>1776</v>
      </c>
      <c r="H11" s="1" t="s">
        <v>888</v>
      </c>
      <c r="I11" s="1"/>
      <c r="J11" s="1" t="s">
        <v>1130</v>
      </c>
      <c r="K11" s="1" t="s">
        <v>1914</v>
      </c>
      <c r="L11" s="1"/>
      <c r="M11" s="1" t="s">
        <v>1342</v>
      </c>
      <c r="N11" s="1" t="s">
        <v>263</v>
      </c>
      <c r="O11" s="1" t="s">
        <v>4</v>
      </c>
      <c r="P11" s="1" t="s">
        <v>288</v>
      </c>
      <c r="Q11" s="1"/>
      <c r="R11" s="1"/>
      <c r="S11" s="1"/>
      <c r="T11" s="1"/>
      <c r="U11" s="1"/>
      <c r="V11" s="1"/>
      <c r="W11" s="1"/>
      <c r="X11" s="1"/>
      <c r="Y11" s="1"/>
      <c r="Z11" s="1"/>
      <c r="AA11" s="1"/>
      <c r="AB11" s="1"/>
      <c r="AC11" s="1"/>
      <c r="AD11" s="1"/>
      <c r="AE11" s="1"/>
      <c r="AF11" s="1"/>
      <c r="AG11" s="1"/>
      <c r="AH11" s="1"/>
      <c r="AI11" s="1"/>
      <c r="AJ11" s="1"/>
      <c r="AK11" s="1"/>
      <c r="AL11" s="1"/>
      <c r="AM11" s="1"/>
      <c r="AN11" s="1"/>
      <c r="AO11" s="1"/>
    </row>
    <row r="12" spans="1:41" ht="101.5" x14ac:dyDescent="0.35">
      <c r="A12" s="1" t="s">
        <v>1773</v>
      </c>
      <c r="B12" s="1" t="s">
        <v>1777</v>
      </c>
      <c r="C12" s="1" t="s">
        <v>1383</v>
      </c>
      <c r="D12" s="1" t="s">
        <v>1385</v>
      </c>
      <c r="E12" s="1" t="s">
        <v>1778</v>
      </c>
      <c r="F12" s="1" t="s">
        <v>1779</v>
      </c>
      <c r="G12" s="1" t="s">
        <v>1780</v>
      </c>
      <c r="H12" s="1"/>
      <c r="I12" s="1"/>
      <c r="J12" s="1" t="s">
        <v>1512</v>
      </c>
      <c r="K12" s="1" t="s">
        <v>1915</v>
      </c>
      <c r="L12" s="1"/>
      <c r="M12" s="1" t="s">
        <v>1342</v>
      </c>
      <c r="N12" s="1" t="s">
        <v>316</v>
      </c>
      <c r="O12" s="1" t="s">
        <v>288</v>
      </c>
      <c r="P12" s="1" t="s">
        <v>4</v>
      </c>
      <c r="Q12" s="1"/>
      <c r="R12" s="1"/>
      <c r="S12" s="1"/>
      <c r="T12" s="1"/>
      <c r="U12" s="1"/>
      <c r="V12" s="1"/>
      <c r="W12" s="1"/>
      <c r="X12" s="1"/>
      <c r="Y12" s="1"/>
      <c r="Z12" s="1"/>
      <c r="AA12" s="1"/>
      <c r="AB12" s="1"/>
      <c r="AC12" s="1"/>
      <c r="AD12" s="1"/>
      <c r="AE12" s="1"/>
      <c r="AF12" s="1"/>
      <c r="AG12" s="1"/>
      <c r="AH12" s="1"/>
      <c r="AI12" s="1"/>
      <c r="AJ12" s="1"/>
      <c r="AK12" s="1"/>
      <c r="AL12" s="1"/>
      <c r="AM12" s="1"/>
      <c r="AN12" s="1"/>
      <c r="AO12" s="1"/>
    </row>
    <row r="13" spans="1:41" ht="101.5" x14ac:dyDescent="0.35">
      <c r="A13" s="1" t="s">
        <v>1773</v>
      </c>
      <c r="B13" s="1" t="s">
        <v>1781</v>
      </c>
      <c r="C13" s="1" t="s">
        <v>1385</v>
      </c>
      <c r="D13" s="1"/>
      <c r="E13" s="1" t="s">
        <v>1782</v>
      </c>
      <c r="F13" s="1" t="s">
        <v>1783</v>
      </c>
      <c r="G13" s="1" t="s">
        <v>1784</v>
      </c>
      <c r="H13" s="1" t="s">
        <v>794</v>
      </c>
      <c r="I13" s="1"/>
      <c r="J13" s="1" t="s">
        <v>1386</v>
      </c>
      <c r="K13" s="1" t="s">
        <v>1916</v>
      </c>
      <c r="L13" s="1" t="s">
        <v>1316</v>
      </c>
      <c r="M13" s="1" t="s">
        <v>1341</v>
      </c>
      <c r="N13" s="1" t="s">
        <v>310</v>
      </c>
      <c r="O13" s="1" t="s">
        <v>330</v>
      </c>
      <c r="P13" s="1" t="s">
        <v>4</v>
      </c>
      <c r="Q13" s="1"/>
      <c r="R13" s="1"/>
      <c r="S13" s="1"/>
      <c r="T13" s="1"/>
      <c r="U13" s="1"/>
      <c r="V13" s="1"/>
      <c r="W13" s="1"/>
      <c r="X13" s="1"/>
      <c r="Y13" s="1"/>
      <c r="Z13" s="1"/>
      <c r="AA13" s="1"/>
      <c r="AB13" s="1"/>
      <c r="AC13" s="1"/>
      <c r="AD13" s="1"/>
      <c r="AE13" s="1"/>
      <c r="AF13" s="1"/>
      <c r="AG13" s="1"/>
      <c r="AH13" s="1"/>
      <c r="AI13" s="1"/>
      <c r="AJ13" s="1"/>
      <c r="AK13" s="1"/>
      <c r="AL13" s="1"/>
      <c r="AM13" s="1"/>
      <c r="AN13" s="1"/>
      <c r="AO13" s="1"/>
    </row>
    <row r="14" spans="1:41" ht="87" x14ac:dyDescent="0.35">
      <c r="A14" s="1" t="s">
        <v>1773</v>
      </c>
      <c r="B14" s="1" t="s">
        <v>1785</v>
      </c>
      <c r="C14" s="1" t="s">
        <v>1385</v>
      </c>
      <c r="D14" s="1"/>
      <c r="E14" s="1" t="s">
        <v>1786</v>
      </c>
      <c r="F14" s="1" t="s">
        <v>1787</v>
      </c>
      <c r="G14" s="1" t="s">
        <v>1788</v>
      </c>
      <c r="H14" s="1"/>
      <c r="I14" s="1"/>
      <c r="J14" s="1" t="s">
        <v>1441</v>
      </c>
      <c r="K14" s="1" t="s">
        <v>1917</v>
      </c>
      <c r="L14" s="1"/>
      <c r="M14" s="1" t="s">
        <v>1346</v>
      </c>
      <c r="N14" s="1" t="s">
        <v>314</v>
      </c>
      <c r="O14" s="1" t="s">
        <v>308</v>
      </c>
      <c r="P14" s="1" t="s">
        <v>42</v>
      </c>
      <c r="Q14" s="1"/>
      <c r="R14" s="1"/>
      <c r="S14" s="1"/>
      <c r="T14" s="1"/>
      <c r="U14" s="1"/>
      <c r="V14" s="1"/>
      <c r="W14" s="1"/>
      <c r="X14" s="1"/>
      <c r="Y14" s="1"/>
      <c r="Z14" s="1"/>
      <c r="AA14" s="1"/>
      <c r="AB14" s="1"/>
      <c r="AC14" s="1"/>
      <c r="AD14" s="1"/>
      <c r="AE14" s="1"/>
      <c r="AF14" s="1"/>
      <c r="AG14" s="1"/>
      <c r="AH14" s="1"/>
      <c r="AI14" s="1"/>
      <c r="AJ14" s="1"/>
      <c r="AK14" s="1"/>
      <c r="AL14" s="1"/>
      <c r="AM14" s="1"/>
      <c r="AN14" s="1"/>
      <c r="AO14" s="1"/>
    </row>
    <row r="15" spans="1:41" ht="130.5" x14ac:dyDescent="0.35">
      <c r="A15" s="1" t="s">
        <v>1789</v>
      </c>
      <c r="B15" s="1" t="s">
        <v>1790</v>
      </c>
      <c r="C15" s="1" t="s">
        <v>1381</v>
      </c>
      <c r="D15" s="1"/>
      <c r="E15" s="1" t="s">
        <v>1791</v>
      </c>
      <c r="F15" s="1" t="s">
        <v>1792</v>
      </c>
      <c r="G15" s="1" t="s">
        <v>1793</v>
      </c>
      <c r="H15" s="1" t="s">
        <v>702</v>
      </c>
      <c r="I15" s="1"/>
      <c r="J15" s="1" t="s">
        <v>1423</v>
      </c>
      <c r="K15" s="1" t="s">
        <v>1918</v>
      </c>
      <c r="L15" s="1" t="s">
        <v>1328</v>
      </c>
      <c r="M15" s="1" t="s">
        <v>1343</v>
      </c>
      <c r="N15" s="1" t="s">
        <v>28</v>
      </c>
      <c r="O15" s="1" t="s">
        <v>235</v>
      </c>
      <c r="P15" s="1" t="s">
        <v>42</v>
      </c>
      <c r="Q15" s="1"/>
      <c r="R15" s="1"/>
      <c r="S15" s="1"/>
      <c r="T15" s="1"/>
      <c r="U15" s="1"/>
      <c r="V15" s="1"/>
      <c r="W15" s="1"/>
      <c r="X15" s="1"/>
      <c r="Y15" s="1"/>
      <c r="Z15" s="1"/>
      <c r="AA15" s="1"/>
      <c r="AB15" s="1"/>
      <c r="AC15" s="1"/>
      <c r="AD15" s="1"/>
      <c r="AE15" s="1"/>
      <c r="AF15" s="1"/>
      <c r="AG15" s="1"/>
      <c r="AH15" s="1"/>
      <c r="AI15" s="1"/>
      <c r="AJ15" s="1"/>
      <c r="AK15" s="1"/>
      <c r="AL15" s="1"/>
      <c r="AM15" s="1"/>
      <c r="AN15" s="1"/>
      <c r="AO15" s="1"/>
    </row>
    <row r="16" spans="1:41" ht="116" x14ac:dyDescent="0.35">
      <c r="A16" s="1" t="s">
        <v>1789</v>
      </c>
      <c r="B16" s="1" t="s">
        <v>1794</v>
      </c>
      <c r="C16" s="1" t="s">
        <v>1387</v>
      </c>
      <c r="D16" s="1"/>
      <c r="E16" s="1" t="s">
        <v>1795</v>
      </c>
      <c r="F16" s="1" t="s">
        <v>1796</v>
      </c>
      <c r="G16" s="1" t="s">
        <v>1797</v>
      </c>
      <c r="H16" s="1" t="s">
        <v>912</v>
      </c>
      <c r="I16" s="1"/>
      <c r="J16" s="1" t="s">
        <v>1414</v>
      </c>
      <c r="K16" s="1" t="s">
        <v>1919</v>
      </c>
      <c r="L16" s="1"/>
      <c r="M16" s="1" t="s">
        <v>1344</v>
      </c>
      <c r="N16" s="1" t="s">
        <v>14</v>
      </c>
      <c r="O16" s="1" t="s">
        <v>26</v>
      </c>
      <c r="P16" s="1" t="s">
        <v>312</v>
      </c>
      <c r="Q16" s="1"/>
      <c r="R16" s="1"/>
      <c r="S16" s="1"/>
      <c r="T16" s="1"/>
      <c r="U16" s="1"/>
      <c r="V16" s="1"/>
      <c r="W16" s="1"/>
      <c r="X16" s="1"/>
      <c r="Y16" s="1"/>
      <c r="Z16" s="1"/>
      <c r="AA16" s="1"/>
      <c r="AB16" s="1"/>
      <c r="AC16" s="1"/>
      <c r="AD16" s="1"/>
      <c r="AE16" s="1"/>
      <c r="AF16" s="1"/>
      <c r="AG16" s="1"/>
      <c r="AH16" s="1"/>
      <c r="AI16" s="1"/>
      <c r="AJ16" s="1"/>
      <c r="AK16" s="1"/>
      <c r="AL16" s="1"/>
      <c r="AM16" s="1"/>
      <c r="AN16" s="1"/>
      <c r="AO16" s="1"/>
    </row>
    <row r="17" spans="1:41" ht="58" x14ac:dyDescent="0.35">
      <c r="A17" s="1" t="s">
        <v>1789</v>
      </c>
      <c r="B17" s="1" t="s">
        <v>1798</v>
      </c>
      <c r="C17" s="1" t="s">
        <v>1381</v>
      </c>
      <c r="D17" s="1" t="s">
        <v>1387</v>
      </c>
      <c r="E17" s="1" t="s">
        <v>1799</v>
      </c>
      <c r="F17" s="1" t="s">
        <v>1800</v>
      </c>
      <c r="G17" s="1" t="s">
        <v>1801</v>
      </c>
      <c r="H17" s="1" t="s">
        <v>717</v>
      </c>
      <c r="I17" s="1"/>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row>
    <row r="18" spans="1:41" ht="58" x14ac:dyDescent="0.35">
      <c r="A18" s="1" t="s">
        <v>1789</v>
      </c>
      <c r="B18" s="1" t="s">
        <v>1802</v>
      </c>
      <c r="C18" s="1" t="s">
        <v>1387</v>
      </c>
      <c r="D18" s="1"/>
      <c r="E18" s="1" t="s">
        <v>1803</v>
      </c>
      <c r="F18" s="1" t="s">
        <v>1804</v>
      </c>
      <c r="G18" s="1" t="s">
        <v>1805</v>
      </c>
      <c r="H18" s="1" t="s">
        <v>924</v>
      </c>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row>
    <row r="19" spans="1:41" ht="58" x14ac:dyDescent="0.35">
      <c r="A19" s="1" t="s">
        <v>1789</v>
      </c>
      <c r="B19" s="1" t="s">
        <v>1806</v>
      </c>
      <c r="C19" s="1" t="s">
        <v>1381</v>
      </c>
      <c r="D19" s="1" t="s">
        <v>1387</v>
      </c>
      <c r="E19" s="1" t="s">
        <v>1807</v>
      </c>
      <c r="F19" s="1" t="s">
        <v>1808</v>
      </c>
      <c r="G19" s="1" t="s">
        <v>1809</v>
      </c>
      <c r="H19" s="1" t="s">
        <v>746</v>
      </c>
      <c r="I19" s="1"/>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row>
    <row r="20" spans="1:41" ht="87" x14ac:dyDescent="0.35">
      <c r="A20" s="1" t="s">
        <v>1810</v>
      </c>
      <c r="B20" s="1" t="s">
        <v>1811</v>
      </c>
      <c r="C20" s="1" t="s">
        <v>1382</v>
      </c>
      <c r="D20" s="1" t="s">
        <v>1389</v>
      </c>
      <c r="E20" s="1" t="s">
        <v>1812</v>
      </c>
      <c r="F20" s="1" t="s">
        <v>1813</v>
      </c>
      <c r="G20" s="1" t="s">
        <v>1814</v>
      </c>
      <c r="H20" s="1" t="s">
        <v>848</v>
      </c>
      <c r="I20" s="1"/>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row>
    <row r="21" spans="1:41" ht="87" x14ac:dyDescent="0.35">
      <c r="A21" s="1" t="s">
        <v>1810</v>
      </c>
      <c r="B21" s="1" t="s">
        <v>1815</v>
      </c>
      <c r="C21" s="1" t="s">
        <v>1382</v>
      </c>
      <c r="D21" s="1"/>
      <c r="E21" s="1" t="s">
        <v>1816</v>
      </c>
      <c r="F21" s="1" t="s">
        <v>1817</v>
      </c>
      <c r="G21" s="1" t="s">
        <v>1818</v>
      </c>
      <c r="H21" s="1"/>
      <c r="I21" s="1"/>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row>
    <row r="22" spans="1:41" ht="87" x14ac:dyDescent="0.35">
      <c r="A22" s="1" t="s">
        <v>1810</v>
      </c>
      <c r="B22" s="1" t="s">
        <v>1819</v>
      </c>
      <c r="C22" s="1" t="s">
        <v>1382</v>
      </c>
      <c r="D22" s="1" t="s">
        <v>1385</v>
      </c>
      <c r="E22" s="1" t="s">
        <v>1820</v>
      </c>
      <c r="F22" s="1" t="s">
        <v>1821</v>
      </c>
      <c r="G22" s="1" t="s">
        <v>1822</v>
      </c>
      <c r="H22" s="1"/>
      <c r="I22" s="1"/>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row>
    <row r="23" spans="1:41" ht="87" x14ac:dyDescent="0.35">
      <c r="A23" s="1" t="s">
        <v>1810</v>
      </c>
      <c r="B23" s="1" t="s">
        <v>1823</v>
      </c>
      <c r="C23" s="1" t="s">
        <v>1130</v>
      </c>
      <c r="D23" s="1"/>
      <c r="E23" s="1" t="s">
        <v>1824</v>
      </c>
      <c r="F23" s="1" t="s">
        <v>1825</v>
      </c>
      <c r="G23" s="1" t="s">
        <v>1826</v>
      </c>
      <c r="H23" s="1" t="s">
        <v>1127</v>
      </c>
      <c r="I23" s="1"/>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row>
    <row r="24" spans="1:41" ht="58" x14ac:dyDescent="0.35">
      <c r="A24" s="1" t="s">
        <v>1827</v>
      </c>
      <c r="B24" s="1" t="s">
        <v>1828</v>
      </c>
      <c r="C24" s="1" t="s">
        <v>1386</v>
      </c>
      <c r="D24" s="1"/>
      <c r="E24" s="1" t="s">
        <v>1829</v>
      </c>
      <c r="F24" s="1" t="s">
        <v>1830</v>
      </c>
      <c r="G24" s="1" t="s">
        <v>1831</v>
      </c>
      <c r="H24" s="1" t="s">
        <v>868</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row>
    <row r="25" spans="1:41" ht="72.5" x14ac:dyDescent="0.35">
      <c r="A25" s="1" t="s">
        <v>1827</v>
      </c>
      <c r="B25" s="1" t="s">
        <v>1832</v>
      </c>
      <c r="C25" s="1" t="s">
        <v>1386</v>
      </c>
      <c r="D25" s="1"/>
      <c r="E25" s="1" t="s">
        <v>1833</v>
      </c>
      <c r="F25" s="1" t="s">
        <v>1834</v>
      </c>
      <c r="G25" s="1" t="s">
        <v>1835</v>
      </c>
      <c r="H25" s="1" t="s">
        <v>820</v>
      </c>
      <c r="I25" s="1"/>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row>
    <row r="26" spans="1:41" ht="72.5" x14ac:dyDescent="0.35">
      <c r="A26" s="1" t="s">
        <v>1827</v>
      </c>
      <c r="B26" s="1" t="s">
        <v>1836</v>
      </c>
      <c r="C26" s="1" t="s">
        <v>1386</v>
      </c>
      <c r="D26" s="1" t="s">
        <v>1387</v>
      </c>
      <c r="E26" s="1" t="s">
        <v>1837</v>
      </c>
      <c r="F26" s="1" t="s">
        <v>1838</v>
      </c>
      <c r="G26" s="1" t="s">
        <v>1839</v>
      </c>
      <c r="H26" s="1" t="s">
        <v>820</v>
      </c>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row>
    <row r="27" spans="1:41" ht="58" x14ac:dyDescent="0.35">
      <c r="A27" s="1" t="s">
        <v>1827</v>
      </c>
      <c r="B27" s="1" t="s">
        <v>1840</v>
      </c>
      <c r="C27" s="1" t="s">
        <v>1386</v>
      </c>
      <c r="D27" s="1" t="s">
        <v>1384</v>
      </c>
      <c r="E27" s="1" t="s">
        <v>1841</v>
      </c>
      <c r="F27" s="1" t="s">
        <v>1842</v>
      </c>
      <c r="G27" s="1" t="s">
        <v>1843</v>
      </c>
      <c r="H27" s="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row>
    <row r="28" spans="1:41" ht="43.5" x14ac:dyDescent="0.35">
      <c r="A28" s="1" t="s">
        <v>1844</v>
      </c>
      <c r="B28" s="1" t="s">
        <v>1845</v>
      </c>
      <c r="C28" s="1" t="s">
        <v>1423</v>
      </c>
      <c r="D28" s="1"/>
      <c r="E28" s="1" t="s">
        <v>1846</v>
      </c>
      <c r="F28" s="1" t="s">
        <v>1847</v>
      </c>
      <c r="G28" s="1" t="s">
        <v>1848</v>
      </c>
      <c r="H28" s="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row>
    <row r="29" spans="1:41" ht="72.5" x14ac:dyDescent="0.35">
      <c r="A29" s="1" t="s">
        <v>1844</v>
      </c>
      <c r="B29" s="1" t="s">
        <v>1849</v>
      </c>
      <c r="C29" s="1" t="s">
        <v>1423</v>
      </c>
      <c r="D29" s="1"/>
      <c r="E29" s="1" t="s">
        <v>1850</v>
      </c>
      <c r="F29" s="1" t="s">
        <v>1851</v>
      </c>
      <c r="G29" s="1" t="s">
        <v>1852</v>
      </c>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row>
    <row r="30" spans="1:41" ht="58" x14ac:dyDescent="0.35">
      <c r="A30" s="1" t="s">
        <v>1844</v>
      </c>
      <c r="B30" s="1" t="s">
        <v>1853</v>
      </c>
      <c r="C30" s="1" t="s">
        <v>1414</v>
      </c>
      <c r="D30" s="1" t="s">
        <v>1423</v>
      </c>
      <c r="E30" s="1" t="s">
        <v>1854</v>
      </c>
      <c r="F30" s="1" t="s">
        <v>1855</v>
      </c>
      <c r="G30" s="1" t="s">
        <v>1856</v>
      </c>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row>
    <row r="31" spans="1:41" ht="58" x14ac:dyDescent="0.35">
      <c r="A31" s="1" t="s">
        <v>1844</v>
      </c>
      <c r="B31" s="1" t="s">
        <v>1857</v>
      </c>
      <c r="C31" s="1" t="s">
        <v>1423</v>
      </c>
      <c r="D31" s="1"/>
      <c r="E31" s="1" t="s">
        <v>1858</v>
      </c>
      <c r="F31" s="1" t="s">
        <v>1859</v>
      </c>
      <c r="G31" s="1" t="s">
        <v>1860</v>
      </c>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row>
    <row r="32" spans="1:41" ht="72.5" x14ac:dyDescent="0.35">
      <c r="A32" s="1" t="s">
        <v>1861</v>
      </c>
      <c r="B32" s="1" t="s">
        <v>1862</v>
      </c>
      <c r="C32" s="1" t="s">
        <v>1414</v>
      </c>
      <c r="D32" s="1"/>
      <c r="E32" s="1" t="s">
        <v>1863</v>
      </c>
      <c r="F32" s="1" t="s">
        <v>1864</v>
      </c>
      <c r="G32" s="1" t="s">
        <v>1865</v>
      </c>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row>
    <row r="33" spans="1:41" ht="58" x14ac:dyDescent="0.35">
      <c r="A33" s="1" t="s">
        <v>1861</v>
      </c>
      <c r="B33" s="1" t="s">
        <v>1866</v>
      </c>
      <c r="C33" s="1" t="s">
        <v>1414</v>
      </c>
      <c r="D33" s="1" t="s">
        <v>1423</v>
      </c>
      <c r="E33" s="1" t="s">
        <v>1867</v>
      </c>
      <c r="F33" s="1" t="s">
        <v>1868</v>
      </c>
      <c r="G33" s="1" t="s">
        <v>1869</v>
      </c>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row>
    <row r="34" spans="1:41" ht="58" x14ac:dyDescent="0.35">
      <c r="A34" s="1" t="s">
        <v>1861</v>
      </c>
      <c r="B34" s="1" t="s">
        <v>1870</v>
      </c>
      <c r="C34" s="1" t="s">
        <v>1441</v>
      </c>
      <c r="D34" s="1" t="s">
        <v>1414</v>
      </c>
      <c r="E34" s="1" t="s">
        <v>1871</v>
      </c>
      <c r="F34" s="1" t="s">
        <v>1872</v>
      </c>
      <c r="G34" s="1" t="s">
        <v>1873</v>
      </c>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row>
    <row r="35" spans="1:41" ht="58" x14ac:dyDescent="0.35">
      <c r="A35" s="1" t="s">
        <v>1861</v>
      </c>
      <c r="B35" s="1" t="s">
        <v>1874</v>
      </c>
      <c r="C35" s="1" t="s">
        <v>1441</v>
      </c>
      <c r="D35" s="1"/>
      <c r="E35" s="1" t="s">
        <v>1875</v>
      </c>
      <c r="F35" s="1" t="s">
        <v>1876</v>
      </c>
      <c r="G35" s="1" t="s">
        <v>1877</v>
      </c>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row>
    <row r="36" spans="1:41" ht="72.5" x14ac:dyDescent="0.35">
      <c r="A36" s="1" t="s">
        <v>1878</v>
      </c>
      <c r="B36" s="1" t="s">
        <v>1879</v>
      </c>
      <c r="C36" s="1" t="s">
        <v>1399</v>
      </c>
      <c r="D36" s="1" t="s">
        <v>1384</v>
      </c>
      <c r="E36" s="1" t="s">
        <v>1880</v>
      </c>
      <c r="F36" s="1" t="s">
        <v>1881</v>
      </c>
      <c r="G36" s="1" t="s">
        <v>1882</v>
      </c>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row>
    <row r="37" spans="1:41" ht="72.5" x14ac:dyDescent="0.35">
      <c r="A37" s="1" t="s">
        <v>1878</v>
      </c>
      <c r="B37" s="1" t="s">
        <v>1883</v>
      </c>
      <c r="C37" s="1" t="s">
        <v>1399</v>
      </c>
      <c r="D37" s="1" t="s">
        <v>1389</v>
      </c>
      <c r="E37" s="1" t="s">
        <v>1884</v>
      </c>
      <c r="F37" s="1" t="s">
        <v>1885</v>
      </c>
      <c r="G37" s="1" t="s">
        <v>1886</v>
      </c>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row>
    <row r="38" spans="1:41" ht="72.5" x14ac:dyDescent="0.35">
      <c r="A38" s="1" t="s">
        <v>1878</v>
      </c>
      <c r="B38" s="1" t="s">
        <v>1887</v>
      </c>
      <c r="C38" s="1" t="s">
        <v>1414</v>
      </c>
      <c r="D38" s="1"/>
      <c r="E38" s="1" t="s">
        <v>1888</v>
      </c>
      <c r="F38" s="1" t="s">
        <v>1889</v>
      </c>
      <c r="G38" s="1" t="s">
        <v>1890</v>
      </c>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row>
    <row r="39" spans="1:41" ht="72.5" x14ac:dyDescent="0.35">
      <c r="A39" s="1" t="s">
        <v>1878</v>
      </c>
      <c r="B39" s="1" t="s">
        <v>1891</v>
      </c>
      <c r="C39" s="1" t="s">
        <v>1384</v>
      </c>
      <c r="D39" s="1" t="s">
        <v>1387</v>
      </c>
      <c r="E39" s="1" t="s">
        <v>1892</v>
      </c>
      <c r="F39" s="1" t="s">
        <v>1893</v>
      </c>
      <c r="G39" s="1" t="s">
        <v>1894</v>
      </c>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row>
    <row r="40" spans="1:41" ht="72.5" x14ac:dyDescent="0.35">
      <c r="A40" s="1" t="s">
        <v>1878</v>
      </c>
      <c r="B40" s="1" t="s">
        <v>1895</v>
      </c>
      <c r="C40" s="1" t="s">
        <v>1386</v>
      </c>
      <c r="D40" s="1" t="s">
        <v>1384</v>
      </c>
      <c r="E40" s="1" t="s">
        <v>1896</v>
      </c>
      <c r="F40" s="1" t="s">
        <v>1897</v>
      </c>
      <c r="G40" s="1" t="s">
        <v>1898</v>
      </c>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row>
  </sheetData>
  <phoneticPr fontId="3" type="noConversion"/>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43267-C784-4A54-978D-CB2A46FFCB15}">
  <sheetPr>
    <tabColor rgb="FFB77CFF"/>
  </sheetPr>
  <dimension ref="A1:L38"/>
  <sheetViews>
    <sheetView showGridLines="0" topLeftCell="A3" workbookViewId="0">
      <selection activeCell="A37" sqref="A37"/>
    </sheetView>
  </sheetViews>
  <sheetFormatPr baseColWidth="10" defaultRowHeight="14.5" x14ac:dyDescent="0.35"/>
  <cols>
    <col min="1" max="1" width="13.08984375" customWidth="1"/>
    <col min="2" max="2" width="10.90625" customWidth="1"/>
    <col min="3" max="3" width="14.1796875" customWidth="1"/>
    <col min="4" max="4" width="12.7265625" customWidth="1"/>
    <col min="5" max="5" width="14.1796875" customWidth="1"/>
    <col min="6" max="7" width="13.08984375" customWidth="1"/>
    <col min="8" max="8" width="14.1796875" customWidth="1"/>
    <col min="9" max="9" width="11.26953125" customWidth="1"/>
    <col min="10" max="10" width="10.1796875" customWidth="1"/>
    <col min="11" max="12" width="13.08984375" customWidth="1"/>
  </cols>
  <sheetData>
    <row r="1" spans="1:12" ht="48" customHeight="1" x14ac:dyDescent="0.35">
      <c r="A1" s="204" t="s">
        <v>1983</v>
      </c>
      <c r="B1" s="203"/>
      <c r="C1" s="203"/>
      <c r="D1" s="203"/>
      <c r="E1" s="203"/>
      <c r="F1" s="203"/>
      <c r="G1" s="203"/>
      <c r="H1" s="203"/>
      <c r="I1" s="203"/>
      <c r="J1" s="203"/>
      <c r="K1" s="203"/>
      <c r="L1" s="203"/>
    </row>
    <row r="2" spans="1:12" ht="30" customHeight="1" x14ac:dyDescent="0.35">
      <c r="A2" s="205" t="s">
        <v>1984</v>
      </c>
      <c r="B2" s="203"/>
      <c r="C2" s="203"/>
      <c r="D2" s="203"/>
      <c r="E2" s="203"/>
      <c r="F2" s="203"/>
      <c r="G2" s="203"/>
      <c r="H2" s="203"/>
      <c r="I2" s="203"/>
      <c r="J2" s="203"/>
      <c r="K2" s="203"/>
      <c r="L2" s="203"/>
    </row>
    <row r="3" spans="1:12" x14ac:dyDescent="0.35">
      <c r="A3" s="81"/>
      <c r="B3" s="81"/>
      <c r="C3" s="81"/>
      <c r="D3" s="81"/>
      <c r="E3" s="81"/>
      <c r="F3" s="81"/>
      <c r="G3" s="81"/>
      <c r="H3" s="81"/>
      <c r="I3" s="81"/>
      <c r="J3" s="81"/>
      <c r="K3" s="81"/>
      <c r="L3" s="81"/>
    </row>
    <row r="4" spans="1:12" ht="22" customHeight="1" x14ac:dyDescent="0.35">
      <c r="A4" s="109" t="s">
        <v>1985</v>
      </c>
      <c r="B4" s="109"/>
      <c r="C4" s="109"/>
      <c r="D4" s="109"/>
      <c r="E4" s="109"/>
      <c r="F4" s="109"/>
      <c r="G4" s="109"/>
      <c r="H4" s="109"/>
      <c r="I4" s="109"/>
      <c r="J4" s="109"/>
      <c r="K4" s="109"/>
      <c r="L4" s="109"/>
    </row>
    <row r="5" spans="1:12" ht="34" customHeight="1" x14ac:dyDescent="0.35">
      <c r="A5" s="206" t="s">
        <v>1986</v>
      </c>
      <c r="B5" s="206"/>
      <c r="C5" s="206"/>
      <c r="D5" s="206"/>
      <c r="E5" s="206"/>
      <c r="F5" s="206"/>
      <c r="G5" s="206"/>
      <c r="H5" s="206"/>
      <c r="I5" s="206"/>
      <c r="J5" s="206"/>
      <c r="K5" s="206"/>
      <c r="L5" s="206"/>
    </row>
    <row r="6" spans="1:12" ht="34" customHeight="1" x14ac:dyDescent="0.35">
      <c r="A6" s="206"/>
      <c r="B6" s="206"/>
      <c r="C6" s="206"/>
      <c r="D6" s="206"/>
      <c r="E6" s="206"/>
      <c r="F6" s="206"/>
      <c r="G6" s="206"/>
      <c r="H6" s="206"/>
      <c r="I6" s="206"/>
      <c r="J6" s="206"/>
      <c r="K6" s="206"/>
      <c r="L6" s="206"/>
    </row>
    <row r="7" spans="1:12" x14ac:dyDescent="0.35">
      <c r="A7" s="81"/>
      <c r="B7" s="81"/>
      <c r="C7" s="81"/>
      <c r="D7" s="81"/>
      <c r="E7" s="81"/>
      <c r="F7" s="81"/>
      <c r="G7" s="81"/>
      <c r="H7" s="81"/>
      <c r="I7" s="81"/>
      <c r="J7" s="81"/>
      <c r="K7" s="81"/>
      <c r="L7" s="81"/>
    </row>
    <row r="8" spans="1:12" x14ac:dyDescent="0.35">
      <c r="A8" s="102" t="s">
        <v>1987</v>
      </c>
      <c r="B8" s="102" t="s">
        <v>1988</v>
      </c>
      <c r="C8" s="102" t="s">
        <v>1989</v>
      </c>
      <c r="D8" s="102" t="s">
        <v>1990</v>
      </c>
      <c r="E8" s="81"/>
      <c r="F8" s="81"/>
      <c r="G8" s="81"/>
      <c r="H8" s="81"/>
      <c r="I8" s="81"/>
      <c r="J8" s="81"/>
      <c r="K8" s="81"/>
      <c r="L8" s="81"/>
    </row>
    <row r="9" spans="1:12" ht="43.5" x14ac:dyDescent="0.35">
      <c r="A9" s="81" t="s">
        <v>2134</v>
      </c>
      <c r="B9" s="81" t="s">
        <v>1991</v>
      </c>
      <c r="C9" s="81" t="s">
        <v>1992</v>
      </c>
      <c r="D9" s="81" t="s">
        <v>1993</v>
      </c>
      <c r="E9" s="81"/>
      <c r="F9" s="81"/>
      <c r="G9" s="81"/>
      <c r="H9" s="81"/>
      <c r="I9" s="81"/>
      <c r="J9" s="81"/>
      <c r="K9" s="81"/>
      <c r="L9" s="81"/>
    </row>
    <row r="10" spans="1:12" ht="203" x14ac:dyDescent="0.35">
      <c r="A10" s="81" t="s">
        <v>2135</v>
      </c>
      <c r="B10" s="81" t="s">
        <v>2287</v>
      </c>
      <c r="C10" s="81" t="s">
        <v>2136</v>
      </c>
      <c r="D10" s="81" t="s">
        <v>1993</v>
      </c>
      <c r="E10" s="81"/>
      <c r="F10" s="81"/>
      <c r="G10" s="81"/>
      <c r="H10" s="81"/>
      <c r="I10" s="81"/>
      <c r="J10" s="81"/>
      <c r="K10" s="81"/>
      <c r="L10" s="81"/>
    </row>
    <row r="11" spans="1:12" ht="232" x14ac:dyDescent="0.35">
      <c r="A11" s="81" t="s">
        <v>2137</v>
      </c>
      <c r="B11" s="81" t="s">
        <v>2323</v>
      </c>
      <c r="C11" s="81" t="s">
        <v>2138</v>
      </c>
      <c r="D11" s="81" t="s">
        <v>1996</v>
      </c>
      <c r="E11" s="81"/>
      <c r="F11" s="81"/>
      <c r="G11" s="81"/>
      <c r="H11" s="81"/>
      <c r="I11" s="81"/>
      <c r="J11" s="81"/>
      <c r="K11" s="81"/>
      <c r="L11" s="81"/>
    </row>
    <row r="12" spans="1:12" ht="87" x14ac:dyDescent="0.35">
      <c r="A12" s="81" t="s">
        <v>2139</v>
      </c>
      <c r="B12" s="81" t="s">
        <v>2140</v>
      </c>
      <c r="C12" s="81" t="s">
        <v>2141</v>
      </c>
      <c r="D12" s="81" t="s">
        <v>1997</v>
      </c>
      <c r="E12" s="81"/>
      <c r="F12" s="81"/>
      <c r="G12" s="81"/>
      <c r="H12" s="81"/>
      <c r="I12" s="81"/>
      <c r="J12" s="81"/>
      <c r="K12" s="81"/>
      <c r="L12" s="81"/>
    </row>
    <row r="13" spans="1:12" ht="29" x14ac:dyDescent="0.35">
      <c r="A13" s="81" t="s">
        <v>2142</v>
      </c>
      <c r="B13" s="81" t="s">
        <v>1994</v>
      </c>
      <c r="C13" s="81" t="s">
        <v>1995</v>
      </c>
      <c r="D13" s="81" t="s">
        <v>1996</v>
      </c>
      <c r="E13" s="81"/>
      <c r="F13" s="81"/>
      <c r="G13" s="81"/>
      <c r="H13" s="81"/>
      <c r="I13" s="81"/>
      <c r="J13" s="81"/>
      <c r="K13" s="81"/>
      <c r="L13" s="81"/>
    </row>
    <row r="14" spans="1:12" ht="29" x14ac:dyDescent="0.35">
      <c r="A14" s="81" t="s">
        <v>2143</v>
      </c>
      <c r="B14" s="81" t="s">
        <v>2076</v>
      </c>
      <c r="C14" s="81" t="s">
        <v>2078</v>
      </c>
      <c r="D14" s="81" t="s">
        <v>1996</v>
      </c>
      <c r="E14" s="81"/>
      <c r="F14" s="81"/>
      <c r="G14" s="81"/>
      <c r="H14" s="81"/>
      <c r="I14" s="81"/>
      <c r="J14" s="81"/>
      <c r="K14" s="81"/>
      <c r="L14" s="81"/>
    </row>
    <row r="15" spans="1:12" ht="43.5" x14ac:dyDescent="0.35">
      <c r="A15" s="81" t="s">
        <v>2144</v>
      </c>
      <c r="B15" s="81" t="s">
        <v>2034</v>
      </c>
      <c r="C15" s="81" t="s">
        <v>2145</v>
      </c>
      <c r="D15" s="81" t="s">
        <v>1996</v>
      </c>
    </row>
    <row r="16" spans="1:12" ht="22" customHeight="1" x14ac:dyDescent="0.35">
      <c r="A16" s="224" t="s">
        <v>1998</v>
      </c>
      <c r="B16" s="223"/>
      <c r="C16" s="223"/>
      <c r="D16" s="223"/>
      <c r="E16" s="223"/>
      <c r="F16" s="223"/>
      <c r="G16" s="223"/>
      <c r="H16" s="223"/>
      <c r="I16" s="223"/>
      <c r="J16" s="223"/>
      <c r="K16" s="223"/>
      <c r="L16" s="223"/>
    </row>
    <row r="17" spans="1:12" ht="43.5" x14ac:dyDescent="0.35">
      <c r="A17" s="207" t="s">
        <v>1999</v>
      </c>
      <c r="B17" s="207" t="s">
        <v>943</v>
      </c>
      <c r="C17" s="207" t="s">
        <v>2000</v>
      </c>
      <c r="D17" s="207" t="s">
        <v>2001</v>
      </c>
      <c r="E17" s="207" t="s">
        <v>2002</v>
      </c>
      <c r="F17" s="207" t="s">
        <v>2003</v>
      </c>
      <c r="G17" s="207" t="s">
        <v>2004</v>
      </c>
      <c r="H17" s="207" t="s">
        <v>2005</v>
      </c>
      <c r="I17" s="207" t="s">
        <v>2006</v>
      </c>
      <c r="J17" s="207" t="s">
        <v>2007</v>
      </c>
      <c r="K17" s="207" t="s">
        <v>2008</v>
      </c>
      <c r="L17" s="207" t="s">
        <v>2009</v>
      </c>
    </row>
    <row r="18" spans="1:12" ht="87" x14ac:dyDescent="0.35">
      <c r="A18" s="81" t="s">
        <v>2010</v>
      </c>
      <c r="B18" s="81" t="s">
        <v>2011</v>
      </c>
      <c r="C18" s="81" t="s">
        <v>2012</v>
      </c>
      <c r="D18" s="81" t="s">
        <v>2013</v>
      </c>
      <c r="E18" s="81" t="s">
        <v>2014</v>
      </c>
      <c r="F18" s="81" t="s">
        <v>2015</v>
      </c>
      <c r="G18" s="81" t="s">
        <v>2016</v>
      </c>
      <c r="H18" s="81" t="s">
        <v>2017</v>
      </c>
      <c r="I18" s="81" t="s">
        <v>2018</v>
      </c>
      <c r="J18" s="81" t="s">
        <v>1993</v>
      </c>
      <c r="K18" s="81" t="s">
        <v>2019</v>
      </c>
      <c r="L18" s="81" t="s">
        <v>2020</v>
      </c>
    </row>
    <row r="19" spans="1:12" ht="58" x14ac:dyDescent="0.35">
      <c r="A19" s="81" t="s">
        <v>2021</v>
      </c>
      <c r="B19" s="81" t="s">
        <v>2011</v>
      </c>
      <c r="C19" s="81" t="s">
        <v>2022</v>
      </c>
      <c r="D19" s="81" t="s">
        <v>2013</v>
      </c>
      <c r="E19" s="81" t="s">
        <v>2023</v>
      </c>
      <c r="F19" s="81" t="s">
        <v>2024</v>
      </c>
      <c r="G19" s="81" t="s">
        <v>2025</v>
      </c>
      <c r="H19" s="81" t="s">
        <v>2026</v>
      </c>
      <c r="I19" s="81" t="s">
        <v>2018</v>
      </c>
      <c r="J19" s="81" t="s">
        <v>1993</v>
      </c>
      <c r="K19" s="81" t="s">
        <v>2019</v>
      </c>
      <c r="L19" s="81" t="s">
        <v>2027</v>
      </c>
    </row>
    <row r="20" spans="1:12" ht="87" x14ac:dyDescent="0.35">
      <c r="A20" s="81" t="s">
        <v>2028</v>
      </c>
      <c r="B20" s="81" t="s">
        <v>2029</v>
      </c>
      <c r="C20" s="81" t="s">
        <v>2301</v>
      </c>
      <c r="D20" s="81" t="s">
        <v>2030</v>
      </c>
      <c r="E20" s="81" t="s">
        <v>2302</v>
      </c>
      <c r="F20" s="81" t="s">
        <v>2303</v>
      </c>
      <c r="G20" s="81" t="s">
        <v>2031</v>
      </c>
      <c r="H20" s="81" t="s">
        <v>2032</v>
      </c>
      <c r="I20" s="81" t="s">
        <v>2018</v>
      </c>
      <c r="J20" s="81" t="s">
        <v>1993</v>
      </c>
      <c r="K20" s="81" t="s">
        <v>2019</v>
      </c>
      <c r="L20" s="81" t="s">
        <v>2304</v>
      </c>
    </row>
    <row r="21" spans="1:12" ht="130.5" x14ac:dyDescent="0.35">
      <c r="A21" s="81" t="s">
        <v>2285</v>
      </c>
      <c r="B21" s="81" t="s">
        <v>2029</v>
      </c>
      <c r="C21" s="81" t="s">
        <v>2288</v>
      </c>
      <c r="D21" s="81" t="s">
        <v>2030</v>
      </c>
      <c r="E21" s="81" t="s">
        <v>2289</v>
      </c>
      <c r="F21" s="81" t="s">
        <v>2290</v>
      </c>
      <c r="G21" s="81" t="s">
        <v>2031</v>
      </c>
      <c r="H21" s="81" t="s">
        <v>2286</v>
      </c>
      <c r="I21" s="81" t="s">
        <v>2033</v>
      </c>
      <c r="J21" s="81" t="s">
        <v>1993</v>
      </c>
      <c r="K21" s="81" t="s">
        <v>2019</v>
      </c>
      <c r="L21" s="81" t="s">
        <v>2291</v>
      </c>
    </row>
    <row r="22" spans="1:12" ht="87" x14ac:dyDescent="0.35">
      <c r="A22" s="81" t="s">
        <v>2034</v>
      </c>
      <c r="B22" s="81" t="s">
        <v>694</v>
      </c>
      <c r="C22" s="81" t="s">
        <v>2121</v>
      </c>
      <c r="D22" s="81" t="s">
        <v>2013</v>
      </c>
      <c r="E22" s="81" t="s">
        <v>2035</v>
      </c>
      <c r="F22" s="81" t="s">
        <v>1415</v>
      </c>
      <c r="G22" s="81" t="s">
        <v>2122</v>
      </c>
      <c r="H22" s="81" t="s">
        <v>2123</v>
      </c>
      <c r="I22" s="81" t="s">
        <v>2124</v>
      </c>
      <c r="J22" s="81" t="s">
        <v>1996</v>
      </c>
      <c r="K22" s="81" t="s">
        <v>2125</v>
      </c>
      <c r="L22" s="81" t="s">
        <v>2126</v>
      </c>
    </row>
    <row r="23" spans="1:12" ht="58" x14ac:dyDescent="0.35">
      <c r="A23" s="81" t="s">
        <v>1415</v>
      </c>
      <c r="B23" s="81" t="s">
        <v>694</v>
      </c>
      <c r="C23" s="81" t="s">
        <v>2249</v>
      </c>
      <c r="D23" s="81" t="s">
        <v>2046</v>
      </c>
      <c r="E23" s="81" t="s">
        <v>2250</v>
      </c>
      <c r="F23" s="81" t="s">
        <v>2251</v>
      </c>
      <c r="G23" s="81" t="s">
        <v>2252</v>
      </c>
      <c r="H23" s="81" t="s">
        <v>2253</v>
      </c>
      <c r="I23" s="81" t="s">
        <v>2051</v>
      </c>
      <c r="J23" s="81" t="s">
        <v>1996</v>
      </c>
      <c r="K23" s="81" t="s">
        <v>2052</v>
      </c>
      <c r="L23" s="81" t="s">
        <v>2254</v>
      </c>
    </row>
    <row r="24" spans="1:12" ht="72.5" x14ac:dyDescent="0.35">
      <c r="A24" s="81" t="s">
        <v>1427</v>
      </c>
      <c r="B24" s="81" t="s">
        <v>2029</v>
      </c>
      <c r="C24" s="81" t="s">
        <v>2305</v>
      </c>
      <c r="D24" s="81" t="s">
        <v>2030</v>
      </c>
      <c r="E24" s="81" t="s">
        <v>2306</v>
      </c>
      <c r="F24" s="81" t="s">
        <v>2307</v>
      </c>
      <c r="G24" s="81" t="s">
        <v>2031</v>
      </c>
      <c r="H24" s="81" t="s">
        <v>2036</v>
      </c>
      <c r="I24" s="81" t="s">
        <v>2033</v>
      </c>
      <c r="J24" s="81" t="s">
        <v>1993</v>
      </c>
      <c r="K24" s="81" t="s">
        <v>2019</v>
      </c>
      <c r="L24" s="81" t="s">
        <v>2308</v>
      </c>
    </row>
    <row r="25" spans="1:12" ht="43.5" x14ac:dyDescent="0.35">
      <c r="A25" s="81" t="s">
        <v>2037</v>
      </c>
      <c r="B25" s="81" t="s">
        <v>2029</v>
      </c>
      <c r="C25" s="81" t="s">
        <v>2038</v>
      </c>
      <c r="D25" s="81" t="s">
        <v>2013</v>
      </c>
      <c r="E25" s="81" t="s">
        <v>2039</v>
      </c>
      <c r="F25" s="81" t="s">
        <v>2040</v>
      </c>
      <c r="G25" s="81" t="s">
        <v>2041</v>
      </c>
      <c r="H25" s="81" t="s">
        <v>2042</v>
      </c>
      <c r="I25" s="81" t="s">
        <v>2018</v>
      </c>
      <c r="J25" s="81" t="s">
        <v>1993</v>
      </c>
      <c r="K25" s="81" t="s">
        <v>2019</v>
      </c>
      <c r="L25" s="81" t="s">
        <v>2043</v>
      </c>
    </row>
    <row r="26" spans="1:12" ht="58" x14ac:dyDescent="0.35">
      <c r="A26" s="81" t="s">
        <v>2040</v>
      </c>
      <c r="B26" s="81" t="s">
        <v>2044</v>
      </c>
      <c r="C26" s="81" t="s">
        <v>2045</v>
      </c>
      <c r="D26" s="81" t="s">
        <v>2046</v>
      </c>
      <c r="E26" s="81" t="s">
        <v>2047</v>
      </c>
      <c r="F26" s="81" t="s">
        <v>2048</v>
      </c>
      <c r="G26" s="81" t="s">
        <v>2049</v>
      </c>
      <c r="H26" s="81" t="s">
        <v>2050</v>
      </c>
      <c r="I26" s="81" t="s">
        <v>2051</v>
      </c>
      <c r="J26" s="81" t="s">
        <v>1996</v>
      </c>
      <c r="K26" s="81" t="s">
        <v>2052</v>
      </c>
      <c r="L26" s="81" t="s">
        <v>2053</v>
      </c>
    </row>
    <row r="27" spans="1:12" ht="72.5" x14ac:dyDescent="0.35">
      <c r="A27" s="81" t="s">
        <v>2048</v>
      </c>
      <c r="B27" s="81" t="s">
        <v>2054</v>
      </c>
      <c r="C27" s="81" t="s">
        <v>2127</v>
      </c>
      <c r="D27" s="81" t="s">
        <v>2046</v>
      </c>
      <c r="E27" s="81" t="s">
        <v>2055</v>
      </c>
      <c r="F27" s="81" t="s">
        <v>2056</v>
      </c>
      <c r="G27" s="81" t="s">
        <v>2057</v>
      </c>
      <c r="H27" s="81" t="s">
        <v>2058</v>
      </c>
      <c r="I27" s="81" t="s">
        <v>2051</v>
      </c>
      <c r="J27" s="81" t="s">
        <v>1996</v>
      </c>
      <c r="K27" s="81" t="s">
        <v>2019</v>
      </c>
      <c r="L27" s="81" t="s">
        <v>2059</v>
      </c>
    </row>
    <row r="28" spans="1:12" ht="72.5" x14ac:dyDescent="0.35">
      <c r="A28" s="81" t="s">
        <v>2060</v>
      </c>
      <c r="B28" s="81" t="s">
        <v>2054</v>
      </c>
      <c r="C28" s="81" t="s">
        <v>2128</v>
      </c>
      <c r="D28" s="81" t="s">
        <v>2046</v>
      </c>
      <c r="E28" s="81" t="s">
        <v>2061</v>
      </c>
      <c r="F28" s="81" t="s">
        <v>2040</v>
      </c>
      <c r="G28" s="81" t="s">
        <v>2062</v>
      </c>
      <c r="H28" s="81" t="s">
        <v>2063</v>
      </c>
      <c r="I28" s="81" t="s">
        <v>2051</v>
      </c>
      <c r="J28" s="81" t="s">
        <v>1996</v>
      </c>
      <c r="K28" s="81" t="s">
        <v>2019</v>
      </c>
      <c r="L28" s="81" t="s">
        <v>2064</v>
      </c>
    </row>
    <row r="29" spans="1:12" ht="87" x14ac:dyDescent="0.35">
      <c r="A29" s="81" t="s">
        <v>2065</v>
      </c>
      <c r="B29" s="81" t="s">
        <v>2044</v>
      </c>
      <c r="C29" s="81" t="s">
        <v>2129</v>
      </c>
      <c r="D29" s="81" t="s">
        <v>2046</v>
      </c>
      <c r="E29" s="81" t="s">
        <v>2066</v>
      </c>
      <c r="F29" s="81" t="s">
        <v>2067</v>
      </c>
      <c r="G29" s="81" t="s">
        <v>2130</v>
      </c>
      <c r="H29" s="81" t="s">
        <v>2068</v>
      </c>
      <c r="I29" s="81" t="s">
        <v>2018</v>
      </c>
      <c r="J29" s="81" t="s">
        <v>1996</v>
      </c>
      <c r="K29" s="81" t="s">
        <v>2052</v>
      </c>
      <c r="L29" s="81" t="s">
        <v>2131</v>
      </c>
    </row>
    <row r="30" spans="1:12" ht="72.5" x14ac:dyDescent="0.35">
      <c r="A30" s="81" t="s">
        <v>1994</v>
      </c>
      <c r="B30" s="81" t="s">
        <v>694</v>
      </c>
      <c r="C30" s="81" t="s">
        <v>2069</v>
      </c>
      <c r="D30" s="81" t="s">
        <v>2070</v>
      </c>
      <c r="E30" s="81" t="s">
        <v>2071</v>
      </c>
      <c r="F30" s="81" t="s">
        <v>2072</v>
      </c>
      <c r="G30" s="81" t="s">
        <v>2021</v>
      </c>
      <c r="H30" s="81" t="s">
        <v>2073</v>
      </c>
      <c r="I30" s="81" t="s">
        <v>694</v>
      </c>
      <c r="J30" s="81" t="s">
        <v>1996</v>
      </c>
      <c r="K30" s="81" t="s">
        <v>2074</v>
      </c>
      <c r="L30" s="81" t="s">
        <v>2075</v>
      </c>
    </row>
    <row r="31" spans="1:12" ht="43.5" x14ac:dyDescent="0.35">
      <c r="A31" s="81" t="s">
        <v>2076</v>
      </c>
      <c r="B31" s="81" t="s">
        <v>2077</v>
      </c>
      <c r="C31" s="81" t="s">
        <v>2078</v>
      </c>
      <c r="D31" s="81" t="s">
        <v>2046</v>
      </c>
      <c r="E31" s="81" t="s">
        <v>2079</v>
      </c>
      <c r="F31" s="81" t="s">
        <v>2080</v>
      </c>
      <c r="G31" s="81" t="s">
        <v>2081</v>
      </c>
      <c r="H31" s="81" t="s">
        <v>2082</v>
      </c>
      <c r="I31" s="81" t="s">
        <v>2051</v>
      </c>
      <c r="J31" s="81" t="s">
        <v>1996</v>
      </c>
      <c r="K31" s="81" t="s">
        <v>2019</v>
      </c>
      <c r="L31" s="81" t="s">
        <v>2083</v>
      </c>
    </row>
    <row r="32" spans="1:12" ht="87" x14ac:dyDescent="0.35">
      <c r="A32" s="81" t="s">
        <v>2084</v>
      </c>
      <c r="B32" s="81" t="s">
        <v>2054</v>
      </c>
      <c r="C32" s="81" t="s">
        <v>2085</v>
      </c>
      <c r="D32" s="81" t="s">
        <v>2030</v>
      </c>
      <c r="E32" s="81" t="s">
        <v>2086</v>
      </c>
      <c r="F32" s="81" t="s">
        <v>2087</v>
      </c>
      <c r="G32" s="81" t="s">
        <v>2088</v>
      </c>
      <c r="H32" s="81" t="s">
        <v>2089</v>
      </c>
      <c r="I32" s="81" t="s">
        <v>2051</v>
      </c>
      <c r="J32" s="81" t="s">
        <v>1993</v>
      </c>
      <c r="K32" s="81" t="s">
        <v>2019</v>
      </c>
      <c r="L32" s="81" t="s">
        <v>2132</v>
      </c>
    </row>
    <row r="33" spans="1:12" ht="145" x14ac:dyDescent="0.35">
      <c r="A33" s="81" t="s">
        <v>2109</v>
      </c>
      <c r="B33" s="81" t="s">
        <v>2029</v>
      </c>
      <c r="C33" s="81" t="s">
        <v>2133</v>
      </c>
      <c r="D33" s="81" t="s">
        <v>2013</v>
      </c>
      <c r="E33" s="81" t="s">
        <v>2110</v>
      </c>
      <c r="F33" s="81" t="s">
        <v>2111</v>
      </c>
      <c r="G33" s="81" t="s">
        <v>2112</v>
      </c>
      <c r="H33" s="81" t="s">
        <v>2113</v>
      </c>
      <c r="I33" s="81" t="s">
        <v>2018</v>
      </c>
      <c r="J33" s="81" t="s">
        <v>1993</v>
      </c>
      <c r="K33" s="81" t="s">
        <v>2019</v>
      </c>
      <c r="L33" s="81" t="s">
        <v>2114</v>
      </c>
    </row>
    <row r="34" spans="1:12" ht="116" x14ac:dyDescent="0.35">
      <c r="A34" s="81" t="s">
        <v>2255</v>
      </c>
      <c r="B34" s="81" t="s">
        <v>2029</v>
      </c>
      <c r="C34" s="81" t="s">
        <v>2256</v>
      </c>
      <c r="D34" s="81" t="s">
        <v>2013</v>
      </c>
      <c r="E34" s="81" t="s">
        <v>2257</v>
      </c>
      <c r="F34" s="81" t="s">
        <v>2252</v>
      </c>
      <c r="G34" s="81" t="s">
        <v>2258</v>
      </c>
      <c r="H34" s="81" t="s">
        <v>2259</v>
      </c>
      <c r="I34" s="81" t="s">
        <v>2018</v>
      </c>
      <c r="J34" s="81" t="s">
        <v>1993</v>
      </c>
      <c r="K34" s="81" t="s">
        <v>2019</v>
      </c>
      <c r="L34" s="81" t="s">
        <v>2260</v>
      </c>
    </row>
    <row r="35" spans="1:12" ht="101.5" x14ac:dyDescent="0.35">
      <c r="A35" s="81" t="s">
        <v>2252</v>
      </c>
      <c r="B35" s="81" t="s">
        <v>694</v>
      </c>
      <c r="C35" s="81" t="s">
        <v>2261</v>
      </c>
      <c r="D35" s="81" t="s">
        <v>2070</v>
      </c>
      <c r="E35" s="81" t="s">
        <v>2262</v>
      </c>
      <c r="F35" s="81" t="s">
        <v>2263</v>
      </c>
      <c r="G35" s="81" t="s">
        <v>2255</v>
      </c>
      <c r="H35" s="81" t="s">
        <v>2264</v>
      </c>
      <c r="I35" s="81" t="s">
        <v>694</v>
      </c>
      <c r="J35" s="81" t="s">
        <v>1996</v>
      </c>
      <c r="K35" s="81" t="s">
        <v>2052</v>
      </c>
      <c r="L35" s="81" t="s">
        <v>2265</v>
      </c>
    </row>
    <row r="36" spans="1:12" ht="116" x14ac:dyDescent="0.35">
      <c r="A36" s="81" t="s">
        <v>2292</v>
      </c>
      <c r="B36" s="81" t="s">
        <v>2044</v>
      </c>
      <c r="C36" s="81" t="s">
        <v>2293</v>
      </c>
      <c r="D36" s="81" t="s">
        <v>2070</v>
      </c>
      <c r="E36" s="81" t="s">
        <v>2294</v>
      </c>
      <c r="F36" s="81" t="s">
        <v>2295</v>
      </c>
      <c r="G36" s="81" t="s">
        <v>2296</v>
      </c>
      <c r="H36" s="81" t="s">
        <v>2297</v>
      </c>
      <c r="I36" s="81" t="s">
        <v>694</v>
      </c>
      <c r="J36" s="81" t="s">
        <v>1996</v>
      </c>
      <c r="K36" s="81" t="s">
        <v>2052</v>
      </c>
      <c r="L36" s="81" t="s">
        <v>2298</v>
      </c>
    </row>
    <row r="37" spans="1:12" ht="87" x14ac:dyDescent="0.35">
      <c r="A37" s="81" t="s">
        <v>2309</v>
      </c>
      <c r="B37" s="81" t="s">
        <v>2044</v>
      </c>
      <c r="C37" s="81" t="s">
        <v>2310</v>
      </c>
      <c r="D37" s="81" t="s">
        <v>2070</v>
      </c>
      <c r="E37" s="81" t="s">
        <v>2311</v>
      </c>
      <c r="F37" s="81" t="s">
        <v>2312</v>
      </c>
      <c r="G37" s="81" t="s">
        <v>2313</v>
      </c>
      <c r="H37" s="81" t="s">
        <v>2314</v>
      </c>
      <c r="I37" s="81" t="s">
        <v>2051</v>
      </c>
      <c r="J37" s="81" t="s">
        <v>1996</v>
      </c>
      <c r="K37" s="81" t="s">
        <v>2052</v>
      </c>
      <c r="L37" s="81" t="s">
        <v>2315</v>
      </c>
    </row>
    <row r="38" spans="1:12" ht="101.5" x14ac:dyDescent="0.35">
      <c r="A38" s="81" t="s">
        <v>2316</v>
      </c>
      <c r="B38" s="81" t="s">
        <v>2044</v>
      </c>
      <c r="C38" s="81" t="s">
        <v>2317</v>
      </c>
      <c r="D38" s="81" t="s">
        <v>2070</v>
      </c>
      <c r="E38" s="81" t="s">
        <v>2318</v>
      </c>
      <c r="F38" s="81" t="s">
        <v>2319</v>
      </c>
      <c r="G38" s="81" t="s">
        <v>2320</v>
      </c>
      <c r="H38" s="81" t="s">
        <v>2321</v>
      </c>
      <c r="I38" s="81" t="s">
        <v>2051</v>
      </c>
      <c r="J38" s="81" t="s">
        <v>1996</v>
      </c>
      <c r="K38" s="81" t="s">
        <v>2052</v>
      </c>
      <c r="L38" s="81" t="s">
        <v>2322</v>
      </c>
    </row>
  </sheetData>
  <mergeCells count="5">
    <mergeCell ref="A1:L1"/>
    <mergeCell ref="A2:L2"/>
    <mergeCell ref="A4:L4"/>
    <mergeCell ref="A5:L6"/>
    <mergeCell ref="A16:L16"/>
  </mergeCells>
  <dataValidations count="5">
    <dataValidation type="list" allowBlank="1" showInputMessage="1" showErrorMessage="1" sqref="B18:B38" xr:uid="{80BCEEEB-12B1-4703-83C8-2D352DB7201C}">
      <formula1>"Interface utilisateur,Exploration,Référentiel,Technique,Gouvernance,Design"</formula1>
    </dataValidation>
    <dataValidation type="list" allowBlank="1" showInputMessage="1" showErrorMessage="1" sqref="D18:D38" xr:uid="{A662BD47-64D0-4D22-9791-221922FF6FCE}">
      <formula1>"Utilisateur final,Créateur / administrateur Atlas,Les deux,Système"</formula1>
    </dataValidation>
    <dataValidation type="list" allowBlank="1" showInputMessage="1" showErrorMessage="1" sqref="I18:I38" xr:uid="{7305A748-63DB-4BBB-B10E-8E9A8C09569F}">
      <formula1>"Cœur du produit,Utile,Support,Technique,Redondance à étudier,Redondance remplacée"</formula1>
    </dataValidation>
    <dataValidation type="list" allowBlank="1" showInputMessage="1" showErrorMessage="1" sqref="J18:J38" xr:uid="{2A4526BD-1A74-434C-9D45-59A60C9F92D6}">
      <formula1>"Visible,Masquée,À décider"</formula1>
    </dataValidation>
    <dataValidation type="list" allowBlank="1" showInputMessage="1" showErrorMessage="1" sqref="K18:K38" xr:uid="{8A9A8CAA-23E3-4BF4-A62A-BF4645191928}">
      <formula1>"Conserver,Simplifier,Fusionner conceptuellement,Transformer en interface,Conserver comme référentiel,Masquer à terme,Remplacer par une autre expérience,Conserver temporairement comme logique historique"</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595B61-97F1-4737-BA65-47C8A8A430E6}">
  <sheetPr>
    <tabColor rgb="FF555555"/>
  </sheetPr>
  <dimension ref="A1:Q311"/>
  <sheetViews>
    <sheetView workbookViewId="0">
      <selection activeCell="A37" sqref="A37"/>
    </sheetView>
  </sheetViews>
  <sheetFormatPr baseColWidth="10" defaultRowHeight="14.5" x14ac:dyDescent="0.35"/>
  <cols>
    <col min="2" max="2" width="15.1796875" bestFit="1" customWidth="1"/>
    <col min="3" max="3" width="13.08984375" bestFit="1" customWidth="1"/>
    <col min="4" max="4" width="9.36328125" bestFit="1" customWidth="1"/>
    <col min="5" max="5" width="22.6328125" bestFit="1" customWidth="1"/>
    <col min="6" max="6" width="16.26953125" bestFit="1" customWidth="1"/>
    <col min="7" max="7" width="15.90625" bestFit="1" customWidth="1"/>
    <col min="8" max="8" width="11.7265625" bestFit="1" customWidth="1"/>
    <col min="11" max="11" width="13.08984375" bestFit="1" customWidth="1"/>
    <col min="12" max="12" width="12.36328125" bestFit="1" customWidth="1"/>
    <col min="13" max="13" width="24.54296875" bestFit="1" customWidth="1"/>
    <col min="14" max="14" width="27.36328125" bestFit="1" customWidth="1"/>
    <col min="15" max="15" width="11.7265625" bestFit="1" customWidth="1"/>
  </cols>
  <sheetData>
    <row r="1" spans="1:17" ht="43.5" x14ac:dyDescent="0.35">
      <c r="A1" s="1" t="s">
        <v>2146</v>
      </c>
      <c r="B1" s="1" t="s">
        <v>2147</v>
      </c>
      <c r="C1" s="1" t="s">
        <v>2148</v>
      </c>
      <c r="D1" s="1" t="s">
        <v>1392</v>
      </c>
      <c r="E1" s="1" t="s">
        <v>2149</v>
      </c>
      <c r="F1" s="1" t="s">
        <v>2150</v>
      </c>
      <c r="G1" s="1" t="s">
        <v>2151</v>
      </c>
      <c r="H1" s="1" t="s">
        <v>2152</v>
      </c>
      <c r="I1" s="1"/>
      <c r="J1" s="1" t="s">
        <v>2146</v>
      </c>
      <c r="K1" s="1" t="s">
        <v>2148</v>
      </c>
      <c r="L1" s="1" t="s">
        <v>2162</v>
      </c>
      <c r="M1" s="1" t="s">
        <v>2163</v>
      </c>
      <c r="N1" s="1" t="s">
        <v>2164</v>
      </c>
      <c r="O1" s="1" t="s">
        <v>2152</v>
      </c>
      <c r="P1" s="1"/>
      <c r="Q1" s="1" t="s">
        <v>2241</v>
      </c>
    </row>
    <row r="2" spans="1:17" ht="43.5" x14ac:dyDescent="0.35">
      <c r="A2" s="1" t="s">
        <v>1398</v>
      </c>
      <c r="B2" s="1" t="s">
        <v>1399</v>
      </c>
      <c r="C2" s="1" t="s">
        <v>84</v>
      </c>
      <c r="D2" s="1" t="s">
        <v>1397</v>
      </c>
      <c r="E2" s="1" t="s">
        <v>85</v>
      </c>
      <c r="F2" s="1" t="s">
        <v>97</v>
      </c>
      <c r="G2" s="1"/>
      <c r="H2" s="1" t="s">
        <v>1402</v>
      </c>
      <c r="I2" s="1"/>
      <c r="J2" s="1" t="s">
        <v>1398</v>
      </c>
      <c r="K2" s="1" t="s">
        <v>84</v>
      </c>
      <c r="L2" s="1" t="s">
        <v>2165</v>
      </c>
      <c r="M2" s="1" t="s">
        <v>2166</v>
      </c>
      <c r="N2" s="1" t="s">
        <v>93</v>
      </c>
      <c r="O2" s="1" t="s">
        <v>1402</v>
      </c>
      <c r="P2" s="1"/>
      <c r="Q2" s="1" t="s">
        <v>1398</v>
      </c>
    </row>
    <row r="3" spans="1:17" ht="43.5" x14ac:dyDescent="0.35">
      <c r="A3" s="1" t="s">
        <v>1398</v>
      </c>
      <c r="B3" s="1" t="s">
        <v>1399</v>
      </c>
      <c r="C3" s="1" t="s">
        <v>87</v>
      </c>
      <c r="D3" s="1" t="s">
        <v>1489</v>
      </c>
      <c r="E3" s="1" t="s">
        <v>1490</v>
      </c>
      <c r="F3" s="1" t="s">
        <v>97</v>
      </c>
      <c r="G3" s="1"/>
      <c r="H3" s="1" t="s">
        <v>1402</v>
      </c>
      <c r="I3" s="1"/>
      <c r="J3" s="1" t="s">
        <v>1398</v>
      </c>
      <c r="K3" s="1" t="s">
        <v>87</v>
      </c>
      <c r="L3" s="1" t="s">
        <v>2165</v>
      </c>
      <c r="M3" s="1" t="s">
        <v>2167</v>
      </c>
      <c r="N3" s="1" t="s">
        <v>93</v>
      </c>
      <c r="O3" s="1" t="s">
        <v>1402</v>
      </c>
      <c r="P3" s="1"/>
      <c r="Q3" s="1" t="s">
        <v>1404</v>
      </c>
    </row>
    <row r="4" spans="1:17" ht="43.5" x14ac:dyDescent="0.35">
      <c r="A4" s="1" t="s">
        <v>1398</v>
      </c>
      <c r="B4" s="1" t="s">
        <v>1399</v>
      </c>
      <c r="C4" s="1" t="s">
        <v>86</v>
      </c>
      <c r="D4" s="1" t="s">
        <v>1499</v>
      </c>
      <c r="E4" s="1" t="s">
        <v>1500</v>
      </c>
      <c r="F4" s="1" t="s">
        <v>97</v>
      </c>
      <c r="G4" s="1"/>
      <c r="H4" s="1" t="s">
        <v>1402</v>
      </c>
      <c r="I4" s="1"/>
      <c r="J4" s="1" t="s">
        <v>1398</v>
      </c>
      <c r="K4" s="1" t="s">
        <v>86</v>
      </c>
      <c r="L4" s="1" t="s">
        <v>2165</v>
      </c>
      <c r="M4" s="1" t="s">
        <v>2168</v>
      </c>
      <c r="N4" s="1" t="s">
        <v>93</v>
      </c>
      <c r="O4" s="1" t="s">
        <v>1402</v>
      </c>
      <c r="P4" s="1"/>
      <c r="Q4" s="1" t="s">
        <v>2156</v>
      </c>
    </row>
    <row r="5" spans="1:17" ht="58" x14ac:dyDescent="0.35">
      <c r="A5" s="1" t="s">
        <v>1398</v>
      </c>
      <c r="B5" s="1" t="s">
        <v>1399</v>
      </c>
      <c r="C5" s="1" t="s">
        <v>1515</v>
      </c>
      <c r="D5" s="1" t="s">
        <v>1513</v>
      </c>
      <c r="E5" s="1" t="s">
        <v>1514</v>
      </c>
      <c r="F5" s="1" t="s">
        <v>97</v>
      </c>
      <c r="G5" s="1"/>
      <c r="H5" s="1" t="s">
        <v>1402</v>
      </c>
      <c r="I5" s="1"/>
      <c r="J5" s="1" t="s">
        <v>1398</v>
      </c>
      <c r="K5" s="1" t="s">
        <v>1515</v>
      </c>
      <c r="L5" s="1" t="s">
        <v>2165</v>
      </c>
      <c r="M5" s="1" t="s">
        <v>2169</v>
      </c>
      <c r="N5" s="1" t="s">
        <v>93</v>
      </c>
      <c r="O5" s="1" t="s">
        <v>1402</v>
      </c>
      <c r="P5" s="1"/>
      <c r="Q5" s="1" t="s">
        <v>2158</v>
      </c>
    </row>
    <row r="6" spans="1:17" ht="58" x14ac:dyDescent="0.35">
      <c r="A6" s="1" t="s">
        <v>1398</v>
      </c>
      <c r="B6" s="1" t="s">
        <v>1399</v>
      </c>
      <c r="C6" s="1" t="s">
        <v>1540</v>
      </c>
      <c r="D6" s="1" t="s">
        <v>1538</v>
      </c>
      <c r="E6" s="1" t="s">
        <v>1539</v>
      </c>
      <c r="F6" s="1" t="s">
        <v>97</v>
      </c>
      <c r="G6" s="1"/>
      <c r="H6" s="1" t="s">
        <v>1402</v>
      </c>
      <c r="I6" s="1"/>
      <c r="J6" s="1" t="s">
        <v>1398</v>
      </c>
      <c r="K6" s="1" t="s">
        <v>1540</v>
      </c>
      <c r="L6" s="1" t="s">
        <v>2165</v>
      </c>
      <c r="M6" s="1" t="s">
        <v>2170</v>
      </c>
      <c r="N6" s="1" t="s">
        <v>93</v>
      </c>
      <c r="O6" s="1" t="s">
        <v>1402</v>
      </c>
      <c r="P6" s="1"/>
      <c r="Q6" s="1" t="s">
        <v>1418</v>
      </c>
    </row>
    <row r="7" spans="1:17" ht="43.5" x14ac:dyDescent="0.35">
      <c r="A7" s="1" t="s">
        <v>1398</v>
      </c>
      <c r="B7" s="1" t="s">
        <v>1399</v>
      </c>
      <c r="C7" s="1" t="s">
        <v>1546</v>
      </c>
      <c r="D7" s="1"/>
      <c r="E7" s="1"/>
      <c r="F7" s="1" t="s">
        <v>2153</v>
      </c>
      <c r="G7" s="1" t="s">
        <v>2154</v>
      </c>
      <c r="H7" s="1" t="s">
        <v>1402</v>
      </c>
      <c r="I7" s="1"/>
      <c r="J7" s="1" t="s">
        <v>1398</v>
      </c>
      <c r="K7" s="1" t="s">
        <v>1546</v>
      </c>
      <c r="L7" s="1" t="s">
        <v>2154</v>
      </c>
      <c r="M7" s="1" t="s">
        <v>93</v>
      </c>
      <c r="N7" s="1" t="s">
        <v>93</v>
      </c>
      <c r="O7" s="1" t="s">
        <v>1402</v>
      </c>
      <c r="P7" s="1"/>
      <c r="Q7" s="1" t="s">
        <v>1422</v>
      </c>
    </row>
    <row r="8" spans="1:17" ht="43.5" x14ac:dyDescent="0.35">
      <c r="A8" s="1" t="s">
        <v>1398</v>
      </c>
      <c r="B8" s="1" t="s">
        <v>1399</v>
      </c>
      <c r="C8" s="1" t="s">
        <v>1567</v>
      </c>
      <c r="D8" s="1"/>
      <c r="E8" s="1"/>
      <c r="F8" s="1" t="s">
        <v>2153</v>
      </c>
      <c r="G8" s="1" t="s">
        <v>2154</v>
      </c>
      <c r="H8" s="1" t="s">
        <v>1402</v>
      </c>
      <c r="I8" s="1"/>
      <c r="J8" s="1" t="s">
        <v>1398</v>
      </c>
      <c r="K8" s="1" t="s">
        <v>1567</v>
      </c>
      <c r="L8" s="1" t="s">
        <v>2154</v>
      </c>
      <c r="M8" s="1" t="s">
        <v>93</v>
      </c>
      <c r="N8" s="1" t="s">
        <v>93</v>
      </c>
      <c r="O8" s="1" t="s">
        <v>1402</v>
      </c>
      <c r="P8" s="1"/>
      <c r="Q8" s="1" t="s">
        <v>2159</v>
      </c>
    </row>
    <row r="9" spans="1:17" ht="43.5" x14ac:dyDescent="0.35">
      <c r="A9" s="1" t="s">
        <v>1398</v>
      </c>
      <c r="B9" s="1" t="s">
        <v>1399</v>
      </c>
      <c r="C9" s="1" t="s">
        <v>1580</v>
      </c>
      <c r="D9" s="1"/>
      <c r="E9" s="1"/>
      <c r="F9" s="1" t="s">
        <v>2153</v>
      </c>
      <c r="G9" s="1" t="s">
        <v>2154</v>
      </c>
      <c r="H9" s="1" t="s">
        <v>1402</v>
      </c>
      <c r="I9" s="1"/>
      <c r="J9" s="1" t="s">
        <v>1398</v>
      </c>
      <c r="K9" s="1" t="s">
        <v>1580</v>
      </c>
      <c r="L9" s="1" t="s">
        <v>2154</v>
      </c>
      <c r="M9" s="1" t="s">
        <v>93</v>
      </c>
      <c r="N9" s="1" t="s">
        <v>93</v>
      </c>
      <c r="O9" s="1" t="s">
        <v>1402</v>
      </c>
      <c r="P9" s="1"/>
      <c r="Q9" s="1" t="s">
        <v>1444</v>
      </c>
    </row>
    <row r="10" spans="1:17" ht="43.5" x14ac:dyDescent="0.35">
      <c r="A10" s="1" t="s">
        <v>1398</v>
      </c>
      <c r="B10" s="1" t="s">
        <v>1399</v>
      </c>
      <c r="C10" s="1" t="s">
        <v>1597</v>
      </c>
      <c r="D10" s="1"/>
      <c r="E10" s="1"/>
      <c r="F10" s="1" t="s">
        <v>2153</v>
      </c>
      <c r="G10" s="1" t="s">
        <v>2154</v>
      </c>
      <c r="H10" s="1" t="s">
        <v>1402</v>
      </c>
      <c r="I10" s="1"/>
      <c r="J10" s="1" t="s">
        <v>1398</v>
      </c>
      <c r="K10" s="1" t="s">
        <v>1597</v>
      </c>
      <c r="L10" s="1" t="s">
        <v>2154</v>
      </c>
      <c r="M10" s="1" t="s">
        <v>93</v>
      </c>
      <c r="N10" s="1" t="s">
        <v>93</v>
      </c>
      <c r="O10" s="1" t="s">
        <v>1402</v>
      </c>
      <c r="P10" s="1"/>
      <c r="Q10" s="1" t="s">
        <v>1447</v>
      </c>
    </row>
    <row r="11" spans="1:17" ht="43.5" x14ac:dyDescent="0.35">
      <c r="A11" s="1" t="s">
        <v>1398</v>
      </c>
      <c r="B11" s="1" t="s">
        <v>1399</v>
      </c>
      <c r="C11" s="1" t="s">
        <v>1612</v>
      </c>
      <c r="D11" s="1"/>
      <c r="E11" s="1"/>
      <c r="F11" s="1" t="s">
        <v>2153</v>
      </c>
      <c r="G11" s="1" t="s">
        <v>2154</v>
      </c>
      <c r="H11" s="1" t="s">
        <v>1402</v>
      </c>
      <c r="I11" s="1"/>
      <c r="J11" s="1" t="s">
        <v>1398</v>
      </c>
      <c r="K11" s="1" t="s">
        <v>1612</v>
      </c>
      <c r="L11" s="1" t="s">
        <v>2154</v>
      </c>
      <c r="M11" s="1" t="s">
        <v>93</v>
      </c>
      <c r="N11" s="1" t="s">
        <v>93</v>
      </c>
      <c r="O11" s="1" t="s">
        <v>1402</v>
      </c>
      <c r="P11" s="1"/>
      <c r="Q11" s="1" t="s">
        <v>2160</v>
      </c>
    </row>
    <row r="12" spans="1:17" ht="43.5" x14ac:dyDescent="0.35">
      <c r="A12" s="1" t="s">
        <v>1398</v>
      </c>
      <c r="B12" s="1" t="s">
        <v>1399</v>
      </c>
      <c r="C12" s="1" t="s">
        <v>1625</v>
      </c>
      <c r="D12" s="1" t="s">
        <v>1623</v>
      </c>
      <c r="E12" s="1" t="s">
        <v>1624</v>
      </c>
      <c r="F12" s="1" t="s">
        <v>97</v>
      </c>
      <c r="G12" s="1"/>
      <c r="H12" s="1" t="s">
        <v>1402</v>
      </c>
      <c r="I12" s="1"/>
      <c r="J12" s="1" t="s">
        <v>1398</v>
      </c>
      <c r="K12" s="1" t="s">
        <v>1625</v>
      </c>
      <c r="L12" s="1" t="s">
        <v>2165</v>
      </c>
      <c r="M12" s="1" t="s">
        <v>2171</v>
      </c>
      <c r="N12" s="1" t="s">
        <v>93</v>
      </c>
      <c r="O12" s="1" t="s">
        <v>1402</v>
      </c>
      <c r="P12" s="1"/>
      <c r="Q12" s="1" t="s">
        <v>1130</v>
      </c>
    </row>
    <row r="13" spans="1:17" ht="43.5" x14ac:dyDescent="0.35">
      <c r="A13" s="1" t="s">
        <v>1398</v>
      </c>
      <c r="B13" s="1" t="s">
        <v>1399</v>
      </c>
      <c r="C13" s="1" t="s">
        <v>1650</v>
      </c>
      <c r="D13" s="1"/>
      <c r="E13" s="1"/>
      <c r="F13" s="1" t="s">
        <v>2153</v>
      </c>
      <c r="G13" s="1" t="s">
        <v>2154</v>
      </c>
      <c r="H13" s="1" t="s">
        <v>1402</v>
      </c>
      <c r="I13" s="1"/>
      <c r="J13" s="1" t="s">
        <v>1398</v>
      </c>
      <c r="K13" s="1" t="s">
        <v>1650</v>
      </c>
      <c r="L13" s="1" t="s">
        <v>2154</v>
      </c>
      <c r="M13" s="1" t="s">
        <v>93</v>
      </c>
      <c r="N13" s="1" t="s">
        <v>93</v>
      </c>
      <c r="O13" s="1" t="s">
        <v>1402</v>
      </c>
      <c r="P13" s="1"/>
      <c r="Q13" s="1" t="s">
        <v>2161</v>
      </c>
    </row>
    <row r="14" spans="1:17" ht="43.5" x14ac:dyDescent="0.35">
      <c r="A14" s="1" t="s">
        <v>1398</v>
      </c>
      <c r="B14" s="1" t="s">
        <v>1399</v>
      </c>
      <c r="C14" s="1" t="s">
        <v>1671</v>
      </c>
      <c r="D14" s="1" t="s">
        <v>1669</v>
      </c>
      <c r="E14" s="1" t="s">
        <v>1670</v>
      </c>
      <c r="F14" s="1" t="s">
        <v>97</v>
      </c>
      <c r="G14" s="1"/>
      <c r="H14" s="1" t="s">
        <v>1358</v>
      </c>
      <c r="I14" s="1"/>
      <c r="J14" s="1" t="s">
        <v>1398</v>
      </c>
      <c r="K14" s="1" t="s">
        <v>1671</v>
      </c>
      <c r="L14" s="1" t="s">
        <v>2165</v>
      </c>
      <c r="M14" s="1" t="s">
        <v>2172</v>
      </c>
      <c r="N14" s="1" t="s">
        <v>485</v>
      </c>
      <c r="O14" s="1" t="s">
        <v>1358</v>
      </c>
      <c r="P14" s="1"/>
      <c r="Q14" s="1"/>
    </row>
    <row r="15" spans="1:17" ht="43.5" x14ac:dyDescent="0.35">
      <c r="A15" s="1" t="s">
        <v>1398</v>
      </c>
      <c r="B15" s="1" t="s">
        <v>1399</v>
      </c>
      <c r="C15" s="1" t="s">
        <v>1671</v>
      </c>
      <c r="D15" s="1"/>
      <c r="E15" s="1"/>
      <c r="F15" s="1" t="s">
        <v>390</v>
      </c>
      <c r="G15" s="1" t="s">
        <v>485</v>
      </c>
      <c r="H15" s="1" t="s">
        <v>1358</v>
      </c>
      <c r="I15" s="1"/>
      <c r="J15" s="1" t="s">
        <v>1398</v>
      </c>
      <c r="K15" s="1" t="s">
        <v>1676</v>
      </c>
      <c r="L15" s="1" t="s">
        <v>2165</v>
      </c>
      <c r="M15" s="1" t="s">
        <v>2173</v>
      </c>
      <c r="N15" s="1" t="s">
        <v>93</v>
      </c>
      <c r="O15" s="1" t="s">
        <v>1402</v>
      </c>
      <c r="P15" s="1"/>
      <c r="Q15" s="1"/>
    </row>
    <row r="16" spans="1:17" ht="43.5" x14ac:dyDescent="0.35">
      <c r="A16" s="1" t="s">
        <v>1398</v>
      </c>
      <c r="B16" s="1" t="s">
        <v>1399</v>
      </c>
      <c r="C16" s="1" t="s">
        <v>1676</v>
      </c>
      <c r="D16" s="1" t="s">
        <v>1674</v>
      </c>
      <c r="E16" s="1" t="s">
        <v>1675</v>
      </c>
      <c r="F16" s="1" t="s">
        <v>97</v>
      </c>
      <c r="G16" s="1"/>
      <c r="H16" s="1" t="s">
        <v>1402</v>
      </c>
      <c r="I16" s="1"/>
      <c r="J16" s="1" t="s">
        <v>1398</v>
      </c>
      <c r="K16" s="1" t="s">
        <v>1681</v>
      </c>
      <c r="L16" s="1" t="s">
        <v>2165</v>
      </c>
      <c r="M16" s="1" t="s">
        <v>2174</v>
      </c>
      <c r="N16" s="1" t="s">
        <v>93</v>
      </c>
      <c r="O16" s="1" t="s">
        <v>1402</v>
      </c>
      <c r="P16" s="1"/>
      <c r="Q16" s="1"/>
    </row>
    <row r="17" spans="1:17" ht="43.5" x14ac:dyDescent="0.35">
      <c r="A17" s="1" t="s">
        <v>1398</v>
      </c>
      <c r="B17" s="1" t="s">
        <v>1399</v>
      </c>
      <c r="C17" s="1" t="s">
        <v>1681</v>
      </c>
      <c r="D17" s="1" t="s">
        <v>1679</v>
      </c>
      <c r="E17" s="1" t="s">
        <v>1680</v>
      </c>
      <c r="F17" s="1" t="s">
        <v>97</v>
      </c>
      <c r="G17" s="1"/>
      <c r="H17" s="1" t="s">
        <v>1402</v>
      </c>
      <c r="I17" s="1"/>
      <c r="J17" s="1" t="s">
        <v>1398</v>
      </c>
      <c r="K17" s="1" t="s">
        <v>95</v>
      </c>
      <c r="L17" s="1" t="s">
        <v>2165</v>
      </c>
      <c r="M17" s="1" t="s">
        <v>2175</v>
      </c>
      <c r="N17" s="1" t="s">
        <v>93</v>
      </c>
      <c r="O17" s="1" t="s">
        <v>1402</v>
      </c>
      <c r="P17" s="1"/>
      <c r="Q17" s="1"/>
    </row>
    <row r="18" spans="1:17" ht="43.5" x14ac:dyDescent="0.35">
      <c r="A18" s="1" t="s">
        <v>1398</v>
      </c>
      <c r="B18" s="1" t="s">
        <v>1399</v>
      </c>
      <c r="C18" s="1" t="s">
        <v>95</v>
      </c>
      <c r="D18" s="1" t="s">
        <v>1686</v>
      </c>
      <c r="E18" s="1" t="s">
        <v>1687</v>
      </c>
      <c r="F18" s="1" t="s">
        <v>97</v>
      </c>
      <c r="G18" s="1"/>
      <c r="H18" s="1" t="s">
        <v>1402</v>
      </c>
      <c r="I18" s="1"/>
      <c r="J18" s="1" t="s">
        <v>1398</v>
      </c>
      <c r="K18" s="1" t="s">
        <v>96</v>
      </c>
      <c r="L18" s="1" t="s">
        <v>2154</v>
      </c>
      <c r="M18" s="1" t="s">
        <v>93</v>
      </c>
      <c r="N18" s="1" t="s">
        <v>93</v>
      </c>
      <c r="O18" s="1" t="s">
        <v>1402</v>
      </c>
      <c r="P18" s="1"/>
      <c r="Q18" s="1"/>
    </row>
    <row r="19" spans="1:17" ht="43.5" x14ac:dyDescent="0.35">
      <c r="A19" s="1" t="s">
        <v>1398</v>
      </c>
      <c r="B19" s="1" t="s">
        <v>1399</v>
      </c>
      <c r="C19" s="1" t="s">
        <v>96</v>
      </c>
      <c r="D19" s="1"/>
      <c r="E19" s="1"/>
      <c r="F19" s="1" t="s">
        <v>2153</v>
      </c>
      <c r="G19" s="1" t="s">
        <v>2154</v>
      </c>
      <c r="H19" s="1" t="s">
        <v>1402</v>
      </c>
      <c r="I19" s="1"/>
      <c r="J19" s="1" t="s">
        <v>1398</v>
      </c>
      <c r="K19" s="1" t="s">
        <v>1701</v>
      </c>
      <c r="L19" s="1" t="s">
        <v>2154</v>
      </c>
      <c r="M19" s="1" t="s">
        <v>93</v>
      </c>
      <c r="N19" s="1" t="s">
        <v>93</v>
      </c>
      <c r="O19" s="1" t="s">
        <v>1402</v>
      </c>
      <c r="P19" s="1"/>
      <c r="Q19" s="1"/>
    </row>
    <row r="20" spans="1:17" ht="43.5" x14ac:dyDescent="0.35">
      <c r="A20" s="1" t="s">
        <v>1398</v>
      </c>
      <c r="B20" s="1" t="s">
        <v>1399</v>
      </c>
      <c r="C20" s="1" t="s">
        <v>1701</v>
      </c>
      <c r="D20" s="1"/>
      <c r="E20" s="1"/>
      <c r="F20" s="1" t="s">
        <v>2153</v>
      </c>
      <c r="G20" s="1" t="s">
        <v>2154</v>
      </c>
      <c r="H20" s="1" t="s">
        <v>1402</v>
      </c>
      <c r="I20" s="1"/>
      <c r="J20" s="1" t="s">
        <v>1398</v>
      </c>
      <c r="K20" s="1" t="s">
        <v>1703</v>
      </c>
      <c r="L20" s="1" t="s">
        <v>2154</v>
      </c>
      <c r="M20" s="1" t="s">
        <v>93</v>
      </c>
      <c r="N20" s="1" t="s">
        <v>93</v>
      </c>
      <c r="O20" s="1" t="s">
        <v>1402</v>
      </c>
      <c r="P20" s="1"/>
      <c r="Q20" s="1"/>
    </row>
    <row r="21" spans="1:17" ht="43.5" x14ac:dyDescent="0.35">
      <c r="A21" s="1" t="s">
        <v>1398</v>
      </c>
      <c r="B21" s="1" t="s">
        <v>1399</v>
      </c>
      <c r="C21" s="1" t="s">
        <v>1703</v>
      </c>
      <c r="D21" s="1"/>
      <c r="E21" s="1"/>
      <c r="F21" s="1" t="s">
        <v>2153</v>
      </c>
      <c r="G21" s="1" t="s">
        <v>2154</v>
      </c>
      <c r="H21" s="1" t="s">
        <v>1402</v>
      </c>
      <c r="I21" s="1"/>
      <c r="J21" s="1" t="s">
        <v>1404</v>
      </c>
      <c r="K21" s="1" t="s">
        <v>84</v>
      </c>
      <c r="L21" s="1" t="s">
        <v>2165</v>
      </c>
      <c r="M21" s="1" t="s">
        <v>2176</v>
      </c>
      <c r="N21" s="1" t="s">
        <v>490</v>
      </c>
      <c r="O21" s="1" t="s">
        <v>1358</v>
      </c>
      <c r="P21" s="1"/>
      <c r="Q21" s="1"/>
    </row>
    <row r="22" spans="1:17" ht="43.5" x14ac:dyDescent="0.35">
      <c r="A22" s="1" t="s">
        <v>1404</v>
      </c>
      <c r="B22" s="1" t="s">
        <v>1389</v>
      </c>
      <c r="C22" s="1" t="s">
        <v>84</v>
      </c>
      <c r="D22" s="1" t="s">
        <v>1403</v>
      </c>
      <c r="E22" s="1" t="s">
        <v>88</v>
      </c>
      <c r="F22" s="1" t="s">
        <v>97</v>
      </c>
      <c r="G22" s="1"/>
      <c r="H22" s="1" t="s">
        <v>1358</v>
      </c>
      <c r="I22" s="1"/>
      <c r="J22" s="1" t="s">
        <v>1404</v>
      </c>
      <c r="K22" s="1" t="s">
        <v>87</v>
      </c>
      <c r="L22" s="1" t="s">
        <v>2165</v>
      </c>
      <c r="M22" s="1" t="s">
        <v>2167</v>
      </c>
      <c r="N22" s="1" t="s">
        <v>491</v>
      </c>
      <c r="O22" s="1" t="s">
        <v>1358</v>
      </c>
      <c r="P22" s="1"/>
      <c r="Q22" s="1"/>
    </row>
    <row r="23" spans="1:17" ht="43.5" x14ac:dyDescent="0.35">
      <c r="A23" s="1" t="s">
        <v>1404</v>
      </c>
      <c r="B23" s="1" t="s">
        <v>1389</v>
      </c>
      <c r="C23" s="1" t="s">
        <v>84</v>
      </c>
      <c r="D23" s="1"/>
      <c r="E23" s="1"/>
      <c r="F23" s="1" t="s">
        <v>2155</v>
      </c>
      <c r="G23" s="1" t="s">
        <v>490</v>
      </c>
      <c r="H23" s="1" t="s">
        <v>1358</v>
      </c>
      <c r="I23" s="1"/>
      <c r="J23" s="1" t="s">
        <v>1404</v>
      </c>
      <c r="K23" s="1" t="s">
        <v>86</v>
      </c>
      <c r="L23" s="1" t="s">
        <v>2165</v>
      </c>
      <c r="M23" s="1" t="s">
        <v>2168</v>
      </c>
      <c r="N23" s="1" t="s">
        <v>659</v>
      </c>
      <c r="O23" s="1" t="s">
        <v>1358</v>
      </c>
      <c r="P23" s="1"/>
      <c r="Q23" s="1"/>
    </row>
    <row r="24" spans="1:17" ht="43.5" x14ac:dyDescent="0.35">
      <c r="A24" s="1" t="s">
        <v>1404</v>
      </c>
      <c r="B24" s="1" t="s">
        <v>1389</v>
      </c>
      <c r="C24" s="1" t="s">
        <v>87</v>
      </c>
      <c r="D24" s="1" t="s">
        <v>1489</v>
      </c>
      <c r="E24" s="1" t="s">
        <v>1490</v>
      </c>
      <c r="F24" s="1" t="s">
        <v>97</v>
      </c>
      <c r="G24" s="1"/>
      <c r="H24" s="1" t="s">
        <v>1358</v>
      </c>
      <c r="I24" s="1"/>
      <c r="J24" s="1" t="s">
        <v>1404</v>
      </c>
      <c r="K24" s="1" t="s">
        <v>1515</v>
      </c>
      <c r="L24" s="1" t="s">
        <v>2165</v>
      </c>
      <c r="M24" s="1" t="s">
        <v>2169</v>
      </c>
      <c r="N24" s="1" t="s">
        <v>492</v>
      </c>
      <c r="O24" s="1" t="s">
        <v>1358</v>
      </c>
      <c r="P24" s="1"/>
      <c r="Q24" s="1"/>
    </row>
    <row r="25" spans="1:17" ht="43.5" x14ac:dyDescent="0.35">
      <c r="A25" s="1" t="s">
        <v>1404</v>
      </c>
      <c r="B25" s="1" t="s">
        <v>1389</v>
      </c>
      <c r="C25" s="1" t="s">
        <v>87</v>
      </c>
      <c r="D25" s="1"/>
      <c r="E25" s="1"/>
      <c r="F25" s="1" t="s">
        <v>1941</v>
      </c>
      <c r="G25" s="1" t="s">
        <v>491</v>
      </c>
      <c r="H25" s="1" t="s">
        <v>1358</v>
      </c>
      <c r="I25" s="1"/>
      <c r="J25" s="1" t="s">
        <v>1404</v>
      </c>
      <c r="K25" s="1" t="s">
        <v>1540</v>
      </c>
      <c r="L25" s="1" t="s">
        <v>2154</v>
      </c>
      <c r="M25" s="1" t="s">
        <v>93</v>
      </c>
      <c r="N25" s="1" t="s">
        <v>93</v>
      </c>
      <c r="O25" s="1" t="s">
        <v>1402</v>
      </c>
      <c r="P25" s="1"/>
      <c r="Q25" s="1"/>
    </row>
    <row r="26" spans="1:17" ht="43.5" x14ac:dyDescent="0.35">
      <c r="A26" s="1" t="s">
        <v>1404</v>
      </c>
      <c r="B26" s="1" t="s">
        <v>1389</v>
      </c>
      <c r="C26" s="1" t="s">
        <v>86</v>
      </c>
      <c r="D26" s="1" t="s">
        <v>1499</v>
      </c>
      <c r="E26" s="1" t="s">
        <v>1500</v>
      </c>
      <c r="F26" s="1" t="s">
        <v>97</v>
      </c>
      <c r="G26" s="1"/>
      <c r="H26" s="1" t="s">
        <v>1358</v>
      </c>
      <c r="I26" s="1"/>
      <c r="J26" s="1" t="s">
        <v>1404</v>
      </c>
      <c r="K26" s="1" t="s">
        <v>1546</v>
      </c>
      <c r="L26" s="1" t="s">
        <v>2165</v>
      </c>
      <c r="M26" s="1" t="s">
        <v>2177</v>
      </c>
      <c r="N26" s="1" t="s">
        <v>93</v>
      </c>
      <c r="O26" s="1" t="s">
        <v>1402</v>
      </c>
      <c r="P26" s="1"/>
      <c r="Q26" s="1"/>
    </row>
    <row r="27" spans="1:17" ht="72.5" x14ac:dyDescent="0.35">
      <c r="A27" s="1" t="s">
        <v>1404</v>
      </c>
      <c r="B27" s="1" t="s">
        <v>1389</v>
      </c>
      <c r="C27" s="1" t="s">
        <v>86</v>
      </c>
      <c r="D27" s="1"/>
      <c r="E27" s="1"/>
      <c r="F27" s="1" t="s">
        <v>1941</v>
      </c>
      <c r="G27" s="1" t="s">
        <v>659</v>
      </c>
      <c r="H27" s="1" t="s">
        <v>1358</v>
      </c>
      <c r="I27" s="1"/>
      <c r="J27" s="1" t="s">
        <v>1404</v>
      </c>
      <c r="K27" s="1" t="s">
        <v>1567</v>
      </c>
      <c r="L27" s="1" t="s">
        <v>2165</v>
      </c>
      <c r="M27" s="1" t="s">
        <v>2178</v>
      </c>
      <c r="N27" s="1" t="s">
        <v>93</v>
      </c>
      <c r="O27" s="1" t="s">
        <v>1402</v>
      </c>
      <c r="P27" s="1"/>
      <c r="Q27" s="1"/>
    </row>
    <row r="28" spans="1:17" ht="43.5" x14ac:dyDescent="0.35">
      <c r="A28" s="1" t="s">
        <v>1404</v>
      </c>
      <c r="B28" s="1" t="s">
        <v>1389</v>
      </c>
      <c r="C28" s="1" t="s">
        <v>1515</v>
      </c>
      <c r="D28" s="1" t="s">
        <v>1513</v>
      </c>
      <c r="E28" s="1" t="s">
        <v>1514</v>
      </c>
      <c r="F28" s="1" t="s">
        <v>97</v>
      </c>
      <c r="G28" s="1"/>
      <c r="H28" s="1" t="s">
        <v>1358</v>
      </c>
      <c r="I28" s="1"/>
      <c r="J28" s="1" t="s">
        <v>1404</v>
      </c>
      <c r="K28" s="1" t="s">
        <v>1580</v>
      </c>
      <c r="L28" s="1" t="s">
        <v>2165</v>
      </c>
      <c r="M28" s="1" t="s">
        <v>2179</v>
      </c>
      <c r="N28" s="1" t="s">
        <v>93</v>
      </c>
      <c r="O28" s="1" t="s">
        <v>1402</v>
      </c>
      <c r="P28" s="1"/>
      <c r="Q28" s="1"/>
    </row>
    <row r="29" spans="1:17" ht="43.5" x14ac:dyDescent="0.35">
      <c r="A29" s="1" t="s">
        <v>1404</v>
      </c>
      <c r="B29" s="1" t="s">
        <v>1389</v>
      </c>
      <c r="C29" s="1" t="s">
        <v>1515</v>
      </c>
      <c r="D29" s="1"/>
      <c r="E29" s="1"/>
      <c r="F29" s="1" t="s">
        <v>390</v>
      </c>
      <c r="G29" s="1" t="s">
        <v>492</v>
      </c>
      <c r="H29" s="1" t="s">
        <v>1358</v>
      </c>
      <c r="I29" s="1"/>
      <c r="J29" s="1" t="s">
        <v>1404</v>
      </c>
      <c r="K29" s="1" t="s">
        <v>1597</v>
      </c>
      <c r="L29" s="1" t="s">
        <v>2165</v>
      </c>
      <c r="M29" s="1" t="s">
        <v>2180</v>
      </c>
      <c r="N29" s="1" t="s">
        <v>93</v>
      </c>
      <c r="O29" s="1" t="s">
        <v>1402</v>
      </c>
      <c r="P29" s="1"/>
      <c r="Q29" s="1"/>
    </row>
    <row r="30" spans="1:17" ht="43.5" x14ac:dyDescent="0.35">
      <c r="A30" s="1" t="s">
        <v>1404</v>
      </c>
      <c r="B30" s="1" t="s">
        <v>1389</v>
      </c>
      <c r="C30" s="1" t="s">
        <v>1540</v>
      </c>
      <c r="D30" s="1"/>
      <c r="E30" s="1"/>
      <c r="F30" s="1" t="s">
        <v>2153</v>
      </c>
      <c r="G30" s="1" t="s">
        <v>2154</v>
      </c>
      <c r="H30" s="1" t="s">
        <v>1402</v>
      </c>
      <c r="I30" s="1"/>
      <c r="J30" s="1" t="s">
        <v>1404</v>
      </c>
      <c r="K30" s="1" t="s">
        <v>1612</v>
      </c>
      <c r="L30" s="1" t="s">
        <v>2165</v>
      </c>
      <c r="M30" s="1" t="s">
        <v>2181</v>
      </c>
      <c r="N30" s="1" t="s">
        <v>93</v>
      </c>
      <c r="O30" s="1" t="s">
        <v>1402</v>
      </c>
      <c r="P30" s="1"/>
      <c r="Q30" s="1"/>
    </row>
    <row r="31" spans="1:17" ht="43.5" x14ac:dyDescent="0.35">
      <c r="A31" s="1" t="s">
        <v>1404</v>
      </c>
      <c r="B31" s="1" t="s">
        <v>1389</v>
      </c>
      <c r="C31" s="1" t="s">
        <v>1546</v>
      </c>
      <c r="D31" s="1" t="s">
        <v>1544</v>
      </c>
      <c r="E31" s="1" t="s">
        <v>1545</v>
      </c>
      <c r="F31" s="1" t="s">
        <v>97</v>
      </c>
      <c r="G31" s="1"/>
      <c r="H31" s="1" t="s">
        <v>1402</v>
      </c>
      <c r="I31" s="1"/>
      <c r="J31" s="1" t="s">
        <v>1404</v>
      </c>
      <c r="K31" s="1" t="s">
        <v>1625</v>
      </c>
      <c r="L31" s="1" t="s">
        <v>2154</v>
      </c>
      <c r="M31" s="1" t="s">
        <v>93</v>
      </c>
      <c r="N31" s="1" t="s">
        <v>93</v>
      </c>
      <c r="O31" s="1" t="s">
        <v>1402</v>
      </c>
      <c r="P31" s="1"/>
      <c r="Q31" s="1"/>
    </row>
    <row r="32" spans="1:17" ht="43.5" x14ac:dyDescent="0.35">
      <c r="A32" s="1" t="s">
        <v>1404</v>
      </c>
      <c r="B32" s="1" t="s">
        <v>1389</v>
      </c>
      <c r="C32" s="1" t="s">
        <v>1567</v>
      </c>
      <c r="D32" s="1" t="s">
        <v>1565</v>
      </c>
      <c r="E32" s="1" t="s">
        <v>1566</v>
      </c>
      <c r="F32" s="1" t="s">
        <v>97</v>
      </c>
      <c r="G32" s="1"/>
      <c r="H32" s="1" t="s">
        <v>1402</v>
      </c>
      <c r="I32" s="1"/>
      <c r="J32" s="1" t="s">
        <v>1404</v>
      </c>
      <c r="K32" s="1" t="s">
        <v>1650</v>
      </c>
      <c r="L32" s="1" t="s">
        <v>2154</v>
      </c>
      <c r="M32" s="1" t="s">
        <v>93</v>
      </c>
      <c r="N32" s="1" t="s">
        <v>93</v>
      </c>
      <c r="O32" s="1" t="s">
        <v>1402</v>
      </c>
      <c r="P32" s="1"/>
      <c r="Q32" s="1"/>
    </row>
    <row r="33" spans="1:17" ht="43.5" x14ac:dyDescent="0.35">
      <c r="A33" s="1" t="s">
        <v>1404</v>
      </c>
      <c r="B33" s="1" t="s">
        <v>1389</v>
      </c>
      <c r="C33" s="1" t="s">
        <v>1580</v>
      </c>
      <c r="D33" s="1" t="s">
        <v>1578</v>
      </c>
      <c r="E33" s="1" t="s">
        <v>1579</v>
      </c>
      <c r="F33" s="1" t="s">
        <v>97</v>
      </c>
      <c r="G33" s="1"/>
      <c r="H33" s="1" t="s">
        <v>1402</v>
      </c>
      <c r="I33" s="1"/>
      <c r="J33" s="1" t="s">
        <v>1404</v>
      </c>
      <c r="K33" s="1" t="s">
        <v>1671</v>
      </c>
      <c r="L33" s="1" t="s">
        <v>2154</v>
      </c>
      <c r="M33" s="1" t="s">
        <v>93</v>
      </c>
      <c r="N33" s="1" t="s">
        <v>93</v>
      </c>
      <c r="O33" s="1" t="s">
        <v>1402</v>
      </c>
      <c r="P33" s="1"/>
      <c r="Q33" s="1"/>
    </row>
    <row r="34" spans="1:17" ht="43.5" x14ac:dyDescent="0.35">
      <c r="A34" s="1" t="s">
        <v>1404</v>
      </c>
      <c r="B34" s="1" t="s">
        <v>1389</v>
      </c>
      <c r="C34" s="1" t="s">
        <v>1597</v>
      </c>
      <c r="D34" s="1" t="s">
        <v>1595</v>
      </c>
      <c r="E34" s="1" t="s">
        <v>1596</v>
      </c>
      <c r="F34" s="1" t="s">
        <v>97</v>
      </c>
      <c r="G34" s="1"/>
      <c r="H34" s="1" t="s">
        <v>1402</v>
      </c>
      <c r="I34" s="1"/>
      <c r="J34" s="1" t="s">
        <v>1404</v>
      </c>
      <c r="K34" s="1" t="s">
        <v>1676</v>
      </c>
      <c r="L34" s="1" t="s">
        <v>2165</v>
      </c>
      <c r="M34" s="1" t="s">
        <v>2173</v>
      </c>
      <c r="N34" s="1" t="s">
        <v>498</v>
      </c>
      <c r="O34" s="1" t="s">
        <v>1358</v>
      </c>
      <c r="P34" s="1"/>
      <c r="Q34" s="1"/>
    </row>
    <row r="35" spans="1:17" ht="43.5" x14ac:dyDescent="0.35">
      <c r="A35" s="1" t="s">
        <v>1404</v>
      </c>
      <c r="B35" s="1" t="s">
        <v>1389</v>
      </c>
      <c r="C35" s="1" t="s">
        <v>1612</v>
      </c>
      <c r="D35" s="1" t="s">
        <v>1610</v>
      </c>
      <c r="E35" s="1" t="s">
        <v>1611</v>
      </c>
      <c r="F35" s="1" t="s">
        <v>97</v>
      </c>
      <c r="G35" s="1"/>
      <c r="H35" s="1" t="s">
        <v>1402</v>
      </c>
      <c r="I35" s="1"/>
      <c r="J35" s="1" t="s">
        <v>1404</v>
      </c>
      <c r="K35" s="1" t="s">
        <v>1681</v>
      </c>
      <c r="L35" s="1" t="s">
        <v>2165</v>
      </c>
      <c r="M35" s="1" t="s">
        <v>2174</v>
      </c>
      <c r="N35" s="1" t="s">
        <v>499</v>
      </c>
      <c r="O35" s="1" t="s">
        <v>1358</v>
      </c>
      <c r="P35" s="1"/>
      <c r="Q35" s="1"/>
    </row>
    <row r="36" spans="1:17" ht="43.5" x14ac:dyDescent="0.35">
      <c r="A36" s="1" t="s">
        <v>1404</v>
      </c>
      <c r="B36" s="1" t="s">
        <v>1389</v>
      </c>
      <c r="C36" s="1" t="s">
        <v>1625</v>
      </c>
      <c r="D36" s="1"/>
      <c r="E36" s="1"/>
      <c r="F36" s="1" t="s">
        <v>2153</v>
      </c>
      <c r="G36" s="1" t="s">
        <v>2154</v>
      </c>
      <c r="H36" s="1" t="s">
        <v>1402</v>
      </c>
      <c r="I36" s="1"/>
      <c r="J36" s="1" t="s">
        <v>1404</v>
      </c>
      <c r="K36" s="1" t="s">
        <v>95</v>
      </c>
      <c r="L36" s="1" t="s">
        <v>2154</v>
      </c>
      <c r="M36" s="1" t="s">
        <v>93</v>
      </c>
      <c r="N36" s="1" t="s">
        <v>93</v>
      </c>
      <c r="O36" s="1" t="s">
        <v>1402</v>
      </c>
      <c r="P36" s="1"/>
      <c r="Q36" s="1"/>
    </row>
    <row r="37" spans="1:17" ht="43.5" x14ac:dyDescent="0.35">
      <c r="A37" s="1" t="s">
        <v>1404</v>
      </c>
      <c r="B37" s="1" t="s">
        <v>1389</v>
      </c>
      <c r="C37" s="1" t="s">
        <v>1650</v>
      </c>
      <c r="D37" s="1"/>
      <c r="E37" s="1"/>
      <c r="F37" s="1" t="s">
        <v>2153</v>
      </c>
      <c r="G37" s="1" t="s">
        <v>2154</v>
      </c>
      <c r="H37" s="1" t="s">
        <v>1402</v>
      </c>
      <c r="I37" s="1"/>
      <c r="J37" s="1" t="s">
        <v>1404</v>
      </c>
      <c r="K37" s="1" t="s">
        <v>96</v>
      </c>
      <c r="L37" s="1" t="s">
        <v>2154</v>
      </c>
      <c r="M37" s="1" t="s">
        <v>93</v>
      </c>
      <c r="N37" s="1" t="s">
        <v>93</v>
      </c>
      <c r="O37" s="1" t="s">
        <v>1402</v>
      </c>
      <c r="P37" s="1"/>
      <c r="Q37" s="1"/>
    </row>
    <row r="38" spans="1:17" ht="43.5" x14ac:dyDescent="0.35">
      <c r="A38" s="1" t="s">
        <v>1404</v>
      </c>
      <c r="B38" s="1" t="s">
        <v>1389</v>
      </c>
      <c r="C38" s="1" t="s">
        <v>1671</v>
      </c>
      <c r="D38" s="1"/>
      <c r="E38" s="1"/>
      <c r="F38" s="1" t="s">
        <v>2153</v>
      </c>
      <c r="G38" s="1" t="s">
        <v>2154</v>
      </c>
      <c r="H38" s="1" t="s">
        <v>1402</v>
      </c>
      <c r="I38" s="1"/>
      <c r="J38" s="1" t="s">
        <v>1404</v>
      </c>
      <c r="K38" s="1" t="s">
        <v>1701</v>
      </c>
      <c r="L38" s="1" t="s">
        <v>2154</v>
      </c>
      <c r="M38" s="1" t="s">
        <v>93</v>
      </c>
      <c r="N38" s="1" t="s">
        <v>93</v>
      </c>
      <c r="O38" s="1" t="s">
        <v>1402</v>
      </c>
      <c r="P38" s="1"/>
      <c r="Q38" s="1"/>
    </row>
    <row r="39" spans="1:17" ht="43.5" x14ac:dyDescent="0.35">
      <c r="A39" s="1" t="s">
        <v>1404</v>
      </c>
      <c r="B39" s="1" t="s">
        <v>1389</v>
      </c>
      <c r="C39" s="1" t="s">
        <v>1676</v>
      </c>
      <c r="D39" s="1" t="s">
        <v>1674</v>
      </c>
      <c r="E39" s="1" t="s">
        <v>1675</v>
      </c>
      <c r="F39" s="1" t="s">
        <v>97</v>
      </c>
      <c r="G39" s="1"/>
      <c r="H39" s="1" t="s">
        <v>1358</v>
      </c>
      <c r="I39" s="1"/>
      <c r="J39" s="1" t="s">
        <v>1404</v>
      </c>
      <c r="K39" s="1" t="s">
        <v>1703</v>
      </c>
      <c r="L39" s="1" t="s">
        <v>2154</v>
      </c>
      <c r="M39" s="1" t="s">
        <v>93</v>
      </c>
      <c r="N39" s="1" t="s">
        <v>93</v>
      </c>
      <c r="O39" s="1" t="s">
        <v>1402</v>
      </c>
      <c r="P39" s="1"/>
      <c r="Q39" s="1"/>
    </row>
    <row r="40" spans="1:17" ht="43.5" x14ac:dyDescent="0.35">
      <c r="A40" s="1" t="s">
        <v>1404</v>
      </c>
      <c r="B40" s="1" t="s">
        <v>1389</v>
      </c>
      <c r="C40" s="1" t="s">
        <v>1676</v>
      </c>
      <c r="D40" s="1"/>
      <c r="E40" s="1"/>
      <c r="F40" s="1" t="s">
        <v>1941</v>
      </c>
      <c r="G40" s="1" t="s">
        <v>498</v>
      </c>
      <c r="H40" s="1" t="s">
        <v>1358</v>
      </c>
      <c r="I40" s="1"/>
      <c r="J40" s="1" t="s">
        <v>2156</v>
      </c>
      <c r="K40" s="1" t="s">
        <v>84</v>
      </c>
      <c r="L40" s="1" t="s">
        <v>2165</v>
      </c>
      <c r="M40" s="1" t="s">
        <v>93</v>
      </c>
      <c r="N40" s="1" t="s">
        <v>649</v>
      </c>
      <c r="O40" s="1" t="s">
        <v>1358</v>
      </c>
      <c r="P40" s="1"/>
      <c r="Q40" s="1"/>
    </row>
    <row r="41" spans="1:17" ht="43.5" x14ac:dyDescent="0.35">
      <c r="A41" s="1" t="s">
        <v>1404</v>
      </c>
      <c r="B41" s="1" t="s">
        <v>1389</v>
      </c>
      <c r="C41" s="1" t="s">
        <v>1681</v>
      </c>
      <c r="D41" s="1" t="s">
        <v>1679</v>
      </c>
      <c r="E41" s="1" t="s">
        <v>1680</v>
      </c>
      <c r="F41" s="1" t="s">
        <v>97</v>
      </c>
      <c r="G41" s="1"/>
      <c r="H41" s="1" t="s">
        <v>1358</v>
      </c>
      <c r="I41" s="1"/>
      <c r="J41" s="1" t="s">
        <v>2156</v>
      </c>
      <c r="K41" s="1" t="s">
        <v>87</v>
      </c>
      <c r="L41" s="1" t="s">
        <v>2165</v>
      </c>
      <c r="M41" s="1" t="s">
        <v>2167</v>
      </c>
      <c r="N41" s="1" t="s">
        <v>650</v>
      </c>
      <c r="O41" s="1" t="s">
        <v>1358</v>
      </c>
      <c r="P41" s="1"/>
      <c r="Q41" s="1"/>
    </row>
    <row r="42" spans="1:17" ht="43.5" x14ac:dyDescent="0.35">
      <c r="A42" s="1" t="s">
        <v>1404</v>
      </c>
      <c r="B42" s="1" t="s">
        <v>1389</v>
      </c>
      <c r="C42" s="1" t="s">
        <v>1681</v>
      </c>
      <c r="D42" s="1"/>
      <c r="E42" s="1"/>
      <c r="F42" s="1" t="s">
        <v>1941</v>
      </c>
      <c r="G42" s="1" t="s">
        <v>499</v>
      </c>
      <c r="H42" s="1" t="s">
        <v>1358</v>
      </c>
      <c r="I42" s="1"/>
      <c r="J42" s="1" t="s">
        <v>2156</v>
      </c>
      <c r="K42" s="1" t="s">
        <v>86</v>
      </c>
      <c r="L42" s="1" t="s">
        <v>2165</v>
      </c>
      <c r="M42" s="1" t="s">
        <v>2168</v>
      </c>
      <c r="N42" s="1" t="s">
        <v>651</v>
      </c>
      <c r="O42" s="1" t="s">
        <v>1358</v>
      </c>
      <c r="P42" s="1"/>
      <c r="Q42" s="1"/>
    </row>
    <row r="43" spans="1:17" ht="43.5" x14ac:dyDescent="0.35">
      <c r="A43" s="1" t="s">
        <v>1404</v>
      </c>
      <c r="B43" s="1" t="s">
        <v>1389</v>
      </c>
      <c r="C43" s="1" t="s">
        <v>95</v>
      </c>
      <c r="D43" s="1"/>
      <c r="E43" s="1"/>
      <c r="F43" s="1" t="s">
        <v>2153</v>
      </c>
      <c r="G43" s="1" t="s">
        <v>2154</v>
      </c>
      <c r="H43" s="1" t="s">
        <v>1402</v>
      </c>
      <c r="I43" s="1"/>
      <c r="J43" s="1" t="s">
        <v>2156</v>
      </c>
      <c r="K43" s="1" t="s">
        <v>1515</v>
      </c>
      <c r="L43" s="1" t="s">
        <v>2154</v>
      </c>
      <c r="M43" s="1" t="s">
        <v>93</v>
      </c>
      <c r="N43" s="1" t="s">
        <v>93</v>
      </c>
      <c r="O43" s="1" t="s">
        <v>1402</v>
      </c>
      <c r="P43" s="1"/>
      <c r="Q43" s="1"/>
    </row>
    <row r="44" spans="1:17" ht="43.5" x14ac:dyDescent="0.35">
      <c r="A44" s="1" t="s">
        <v>1404</v>
      </c>
      <c r="B44" s="1" t="s">
        <v>1389</v>
      </c>
      <c r="C44" s="1" t="s">
        <v>96</v>
      </c>
      <c r="D44" s="1"/>
      <c r="E44" s="1"/>
      <c r="F44" s="1" t="s">
        <v>2153</v>
      </c>
      <c r="G44" s="1" t="s">
        <v>2154</v>
      </c>
      <c r="H44" s="1" t="s">
        <v>1402</v>
      </c>
      <c r="I44" s="1"/>
      <c r="J44" s="1" t="s">
        <v>2156</v>
      </c>
      <c r="K44" s="1" t="s">
        <v>1540</v>
      </c>
      <c r="L44" s="1" t="s">
        <v>2154</v>
      </c>
      <c r="M44" s="1" t="s">
        <v>93</v>
      </c>
      <c r="N44" s="1" t="s">
        <v>93</v>
      </c>
      <c r="O44" s="1" t="s">
        <v>1402</v>
      </c>
      <c r="P44" s="1"/>
      <c r="Q44" s="1"/>
    </row>
    <row r="45" spans="1:17" ht="43.5" x14ac:dyDescent="0.35">
      <c r="A45" s="1" t="s">
        <v>1404</v>
      </c>
      <c r="B45" s="1" t="s">
        <v>1389</v>
      </c>
      <c r="C45" s="1" t="s">
        <v>1701</v>
      </c>
      <c r="D45" s="1"/>
      <c r="E45" s="1"/>
      <c r="F45" s="1" t="s">
        <v>2153</v>
      </c>
      <c r="G45" s="1" t="s">
        <v>2154</v>
      </c>
      <c r="H45" s="1" t="s">
        <v>1402</v>
      </c>
      <c r="I45" s="1"/>
      <c r="J45" s="1" t="s">
        <v>2156</v>
      </c>
      <c r="K45" s="1" t="s">
        <v>1546</v>
      </c>
      <c r="L45" s="1" t="s">
        <v>2165</v>
      </c>
      <c r="M45" s="1" t="s">
        <v>2182</v>
      </c>
      <c r="N45" s="1" t="s">
        <v>93</v>
      </c>
      <c r="O45" s="1" t="s">
        <v>1402</v>
      </c>
      <c r="P45" s="1"/>
      <c r="Q45" s="1"/>
    </row>
    <row r="46" spans="1:17" ht="43.5" x14ac:dyDescent="0.35">
      <c r="A46" s="1" t="s">
        <v>1404</v>
      </c>
      <c r="B46" s="1" t="s">
        <v>1389</v>
      </c>
      <c r="C46" s="1" t="s">
        <v>1703</v>
      </c>
      <c r="D46" s="1"/>
      <c r="E46" s="1"/>
      <c r="F46" s="1" t="s">
        <v>2153</v>
      </c>
      <c r="G46" s="1" t="s">
        <v>2154</v>
      </c>
      <c r="H46" s="1" t="s">
        <v>1402</v>
      </c>
      <c r="I46" s="1"/>
      <c r="J46" s="1" t="s">
        <v>2156</v>
      </c>
      <c r="K46" s="1" t="s">
        <v>1567</v>
      </c>
      <c r="L46" s="1" t="s">
        <v>2165</v>
      </c>
      <c r="M46" s="1" t="s">
        <v>2178</v>
      </c>
      <c r="N46" s="1" t="s">
        <v>652</v>
      </c>
      <c r="O46" s="1" t="s">
        <v>1358</v>
      </c>
      <c r="P46" s="1"/>
      <c r="Q46" s="1"/>
    </row>
    <row r="47" spans="1:17" ht="43.5" x14ac:dyDescent="0.35">
      <c r="A47" s="1" t="s">
        <v>2156</v>
      </c>
      <c r="B47" s="1" t="s">
        <v>1414</v>
      </c>
      <c r="C47" s="1" t="s">
        <v>84</v>
      </c>
      <c r="D47" s="1"/>
      <c r="E47" s="1"/>
      <c r="F47" s="1" t="s">
        <v>2157</v>
      </c>
      <c r="G47" s="1" t="s">
        <v>649</v>
      </c>
      <c r="H47" s="1" t="s">
        <v>1358</v>
      </c>
      <c r="I47" s="1"/>
      <c r="J47" s="1" t="s">
        <v>2156</v>
      </c>
      <c r="K47" s="1" t="s">
        <v>1580</v>
      </c>
      <c r="L47" s="1" t="s">
        <v>2165</v>
      </c>
      <c r="M47" s="1" t="s">
        <v>2179</v>
      </c>
      <c r="N47" s="1" t="s">
        <v>653</v>
      </c>
      <c r="O47" s="1" t="s">
        <v>1358</v>
      </c>
      <c r="P47" s="1"/>
      <c r="Q47" s="1"/>
    </row>
    <row r="48" spans="1:17" ht="43.5" x14ac:dyDescent="0.35">
      <c r="A48" s="1" t="s">
        <v>2156</v>
      </c>
      <c r="B48" s="1" t="s">
        <v>1414</v>
      </c>
      <c r="C48" s="1" t="s">
        <v>87</v>
      </c>
      <c r="D48" s="1" t="s">
        <v>1489</v>
      </c>
      <c r="E48" s="1" t="s">
        <v>1490</v>
      </c>
      <c r="F48" s="1" t="s">
        <v>97</v>
      </c>
      <c r="G48" s="1"/>
      <c r="H48" s="1" t="s">
        <v>1358</v>
      </c>
      <c r="I48" s="1"/>
      <c r="J48" s="1" t="s">
        <v>2156</v>
      </c>
      <c r="K48" s="1" t="s">
        <v>1597</v>
      </c>
      <c r="L48" s="1" t="s">
        <v>2165</v>
      </c>
      <c r="M48" s="1" t="s">
        <v>93</v>
      </c>
      <c r="N48" s="1" t="s">
        <v>654</v>
      </c>
      <c r="O48" s="1" t="s">
        <v>1358</v>
      </c>
      <c r="P48" s="1"/>
      <c r="Q48" s="1"/>
    </row>
    <row r="49" spans="1:17" ht="43.5" x14ac:dyDescent="0.35">
      <c r="A49" s="1" t="s">
        <v>2156</v>
      </c>
      <c r="B49" s="1" t="s">
        <v>1414</v>
      </c>
      <c r="C49" s="1" t="s">
        <v>87</v>
      </c>
      <c r="D49" s="1"/>
      <c r="E49" s="1"/>
      <c r="F49" s="1" t="s">
        <v>2157</v>
      </c>
      <c r="G49" s="1" t="s">
        <v>650</v>
      </c>
      <c r="H49" s="1" t="s">
        <v>1358</v>
      </c>
      <c r="I49" s="1"/>
      <c r="J49" s="1" t="s">
        <v>2156</v>
      </c>
      <c r="K49" s="1" t="s">
        <v>1612</v>
      </c>
      <c r="L49" s="1" t="s">
        <v>2165</v>
      </c>
      <c r="M49" s="1" t="s">
        <v>93</v>
      </c>
      <c r="N49" s="1" t="s">
        <v>655</v>
      </c>
      <c r="O49" s="1" t="s">
        <v>1358</v>
      </c>
      <c r="P49" s="1"/>
      <c r="Q49" s="1"/>
    </row>
    <row r="50" spans="1:17" ht="43.5" x14ac:dyDescent="0.35">
      <c r="A50" s="1" t="s">
        <v>2156</v>
      </c>
      <c r="B50" s="1" t="s">
        <v>1414</v>
      </c>
      <c r="C50" s="1" t="s">
        <v>86</v>
      </c>
      <c r="D50" s="1" t="s">
        <v>1499</v>
      </c>
      <c r="E50" s="1" t="s">
        <v>1500</v>
      </c>
      <c r="F50" s="1" t="s">
        <v>97</v>
      </c>
      <c r="G50" s="1"/>
      <c r="H50" s="1" t="s">
        <v>1358</v>
      </c>
      <c r="I50" s="1"/>
      <c r="J50" s="1" t="s">
        <v>2156</v>
      </c>
      <c r="K50" s="1" t="s">
        <v>1625</v>
      </c>
      <c r="L50" s="1" t="s">
        <v>2165</v>
      </c>
      <c r="M50" s="1" t="s">
        <v>2171</v>
      </c>
      <c r="N50" s="1" t="s">
        <v>656</v>
      </c>
      <c r="O50" s="1" t="s">
        <v>1358</v>
      </c>
      <c r="P50" s="1"/>
      <c r="Q50" s="1"/>
    </row>
    <row r="51" spans="1:17" ht="72.5" x14ac:dyDescent="0.35">
      <c r="A51" s="1" t="s">
        <v>2156</v>
      </c>
      <c r="B51" s="1" t="s">
        <v>1414</v>
      </c>
      <c r="C51" s="1" t="s">
        <v>86</v>
      </c>
      <c r="D51" s="1"/>
      <c r="E51" s="1"/>
      <c r="F51" s="1" t="s">
        <v>1941</v>
      </c>
      <c r="G51" s="1" t="s">
        <v>651</v>
      </c>
      <c r="H51" s="1" t="s">
        <v>1358</v>
      </c>
      <c r="I51" s="1"/>
      <c r="J51" s="1" t="s">
        <v>2156</v>
      </c>
      <c r="K51" s="1" t="s">
        <v>1650</v>
      </c>
      <c r="L51" s="1" t="s">
        <v>2165</v>
      </c>
      <c r="M51" s="1" t="s">
        <v>2183</v>
      </c>
      <c r="N51" s="1" t="s">
        <v>93</v>
      </c>
      <c r="O51" s="1" t="s">
        <v>1402</v>
      </c>
      <c r="P51" s="1"/>
      <c r="Q51" s="1"/>
    </row>
    <row r="52" spans="1:17" ht="43.5" x14ac:dyDescent="0.35">
      <c r="A52" s="1" t="s">
        <v>2156</v>
      </c>
      <c r="B52" s="1" t="s">
        <v>1414</v>
      </c>
      <c r="C52" s="1" t="s">
        <v>1515</v>
      </c>
      <c r="D52" s="1"/>
      <c r="E52" s="1"/>
      <c r="F52" s="1" t="s">
        <v>2153</v>
      </c>
      <c r="G52" s="1" t="s">
        <v>2154</v>
      </c>
      <c r="H52" s="1" t="s">
        <v>1402</v>
      </c>
      <c r="I52" s="1"/>
      <c r="J52" s="1" t="s">
        <v>2156</v>
      </c>
      <c r="K52" s="1" t="s">
        <v>1671</v>
      </c>
      <c r="L52" s="1" t="s">
        <v>2154</v>
      </c>
      <c r="M52" s="1" t="s">
        <v>93</v>
      </c>
      <c r="N52" s="1" t="s">
        <v>93</v>
      </c>
      <c r="O52" s="1" t="s">
        <v>1402</v>
      </c>
      <c r="P52" s="1"/>
      <c r="Q52" s="1"/>
    </row>
    <row r="53" spans="1:17" ht="43.5" x14ac:dyDescent="0.35">
      <c r="A53" s="1" t="s">
        <v>2156</v>
      </c>
      <c r="B53" s="1" t="s">
        <v>1414</v>
      </c>
      <c r="C53" s="1" t="s">
        <v>1540</v>
      </c>
      <c r="D53" s="1"/>
      <c r="E53" s="1"/>
      <c r="F53" s="1" t="s">
        <v>2153</v>
      </c>
      <c r="G53" s="1" t="s">
        <v>2154</v>
      </c>
      <c r="H53" s="1" t="s">
        <v>1402</v>
      </c>
      <c r="I53" s="1"/>
      <c r="J53" s="1" t="s">
        <v>2156</v>
      </c>
      <c r="K53" s="1" t="s">
        <v>1676</v>
      </c>
      <c r="L53" s="1" t="s">
        <v>2154</v>
      </c>
      <c r="M53" s="1" t="s">
        <v>93</v>
      </c>
      <c r="N53" s="1" t="s">
        <v>93</v>
      </c>
      <c r="O53" s="1" t="s">
        <v>1402</v>
      </c>
      <c r="P53" s="1"/>
      <c r="Q53" s="1"/>
    </row>
    <row r="54" spans="1:17" ht="43.5" x14ac:dyDescent="0.35">
      <c r="A54" s="1" t="s">
        <v>2156</v>
      </c>
      <c r="B54" s="1" t="s">
        <v>1414</v>
      </c>
      <c r="C54" s="1" t="s">
        <v>1546</v>
      </c>
      <c r="D54" s="1" t="s">
        <v>1547</v>
      </c>
      <c r="E54" s="1" t="s">
        <v>1548</v>
      </c>
      <c r="F54" s="1" t="s">
        <v>97</v>
      </c>
      <c r="G54" s="1"/>
      <c r="H54" s="1" t="s">
        <v>1402</v>
      </c>
      <c r="I54" s="1"/>
      <c r="J54" s="1" t="s">
        <v>2156</v>
      </c>
      <c r="K54" s="1" t="s">
        <v>1681</v>
      </c>
      <c r="L54" s="1" t="s">
        <v>2154</v>
      </c>
      <c r="M54" s="1" t="s">
        <v>93</v>
      </c>
      <c r="N54" s="1" t="s">
        <v>93</v>
      </c>
      <c r="O54" s="1" t="s">
        <v>1402</v>
      </c>
      <c r="P54" s="1"/>
      <c r="Q54" s="1"/>
    </row>
    <row r="55" spans="1:17" ht="43.5" x14ac:dyDescent="0.35">
      <c r="A55" s="1" t="s">
        <v>2156</v>
      </c>
      <c r="B55" s="1" t="s">
        <v>1414</v>
      </c>
      <c r="C55" s="1" t="s">
        <v>1567</v>
      </c>
      <c r="D55" s="1" t="s">
        <v>1565</v>
      </c>
      <c r="E55" s="1" t="s">
        <v>1566</v>
      </c>
      <c r="F55" s="1" t="s">
        <v>97</v>
      </c>
      <c r="G55" s="1"/>
      <c r="H55" s="1" t="s">
        <v>1358</v>
      </c>
      <c r="I55" s="1"/>
      <c r="J55" s="1" t="s">
        <v>2156</v>
      </c>
      <c r="K55" s="1" t="s">
        <v>95</v>
      </c>
      <c r="L55" s="1" t="s">
        <v>2154</v>
      </c>
      <c r="M55" s="1" t="s">
        <v>93</v>
      </c>
      <c r="N55" s="1" t="s">
        <v>93</v>
      </c>
      <c r="O55" s="1" t="s">
        <v>1402</v>
      </c>
      <c r="P55" s="1"/>
      <c r="Q55" s="1"/>
    </row>
    <row r="56" spans="1:17" ht="43.5" x14ac:dyDescent="0.35">
      <c r="A56" s="1" t="s">
        <v>2156</v>
      </c>
      <c r="B56" s="1" t="s">
        <v>1414</v>
      </c>
      <c r="C56" s="1" t="s">
        <v>1567</v>
      </c>
      <c r="D56" s="1"/>
      <c r="E56" s="1"/>
      <c r="F56" s="1" t="s">
        <v>2157</v>
      </c>
      <c r="G56" s="1" t="s">
        <v>652</v>
      </c>
      <c r="H56" s="1" t="s">
        <v>1358</v>
      </c>
      <c r="I56" s="1"/>
      <c r="J56" s="1" t="s">
        <v>2156</v>
      </c>
      <c r="K56" s="1" t="s">
        <v>96</v>
      </c>
      <c r="L56" s="1" t="s">
        <v>2154</v>
      </c>
      <c r="M56" s="1" t="s">
        <v>93</v>
      </c>
      <c r="N56" s="1" t="s">
        <v>93</v>
      </c>
      <c r="O56" s="1" t="s">
        <v>1402</v>
      </c>
      <c r="P56" s="1"/>
      <c r="Q56" s="1"/>
    </row>
    <row r="57" spans="1:17" ht="43.5" x14ac:dyDescent="0.35">
      <c r="A57" s="1" t="s">
        <v>2156</v>
      </c>
      <c r="B57" s="1" t="s">
        <v>1414</v>
      </c>
      <c r="C57" s="1" t="s">
        <v>1580</v>
      </c>
      <c r="D57" s="1" t="s">
        <v>1578</v>
      </c>
      <c r="E57" s="1" t="s">
        <v>1579</v>
      </c>
      <c r="F57" s="1" t="s">
        <v>97</v>
      </c>
      <c r="G57" s="1"/>
      <c r="H57" s="1" t="s">
        <v>1358</v>
      </c>
      <c r="I57" s="1"/>
      <c r="J57" s="1" t="s">
        <v>2156</v>
      </c>
      <c r="K57" s="1" t="s">
        <v>1701</v>
      </c>
      <c r="L57" s="1" t="s">
        <v>2154</v>
      </c>
      <c r="M57" s="1" t="s">
        <v>93</v>
      </c>
      <c r="N57" s="1" t="s">
        <v>93</v>
      </c>
      <c r="O57" s="1" t="s">
        <v>1402</v>
      </c>
      <c r="P57" s="1"/>
      <c r="Q57" s="1"/>
    </row>
    <row r="58" spans="1:17" ht="43.5" x14ac:dyDescent="0.35">
      <c r="A58" s="1" t="s">
        <v>2156</v>
      </c>
      <c r="B58" s="1" t="s">
        <v>1414</v>
      </c>
      <c r="C58" s="1" t="s">
        <v>1580</v>
      </c>
      <c r="D58" s="1"/>
      <c r="E58" s="1"/>
      <c r="F58" s="1" t="s">
        <v>2157</v>
      </c>
      <c r="G58" s="1" t="s">
        <v>653</v>
      </c>
      <c r="H58" s="1" t="s">
        <v>1358</v>
      </c>
      <c r="I58" s="1"/>
      <c r="J58" s="1" t="s">
        <v>2156</v>
      </c>
      <c r="K58" s="1" t="s">
        <v>1703</v>
      </c>
      <c r="L58" s="1" t="s">
        <v>2165</v>
      </c>
      <c r="M58" s="1" t="s">
        <v>2184</v>
      </c>
      <c r="N58" s="1" t="s">
        <v>657</v>
      </c>
      <c r="O58" s="1" t="s">
        <v>1358</v>
      </c>
      <c r="P58" s="1"/>
      <c r="Q58" s="1"/>
    </row>
    <row r="59" spans="1:17" ht="58" x14ac:dyDescent="0.35">
      <c r="A59" s="1" t="s">
        <v>2156</v>
      </c>
      <c r="B59" s="1" t="s">
        <v>1414</v>
      </c>
      <c r="C59" s="1" t="s">
        <v>1597</v>
      </c>
      <c r="D59" s="1"/>
      <c r="E59" s="1"/>
      <c r="F59" s="1" t="s">
        <v>2157</v>
      </c>
      <c r="G59" s="1" t="s">
        <v>654</v>
      </c>
      <c r="H59" s="1" t="s">
        <v>1358</v>
      </c>
      <c r="I59" s="1"/>
      <c r="J59" s="1" t="s">
        <v>2158</v>
      </c>
      <c r="K59" s="1" t="s">
        <v>84</v>
      </c>
      <c r="L59" s="1" t="s">
        <v>2165</v>
      </c>
      <c r="M59" s="1" t="s">
        <v>2185</v>
      </c>
      <c r="N59" s="1" t="s">
        <v>93</v>
      </c>
      <c r="O59" s="1" t="s">
        <v>1402</v>
      </c>
      <c r="P59" s="1"/>
      <c r="Q59" s="1"/>
    </row>
    <row r="60" spans="1:17" ht="58" x14ac:dyDescent="0.35">
      <c r="A60" s="1" t="s">
        <v>2156</v>
      </c>
      <c r="B60" s="1" t="s">
        <v>1414</v>
      </c>
      <c r="C60" s="1" t="s">
        <v>1612</v>
      </c>
      <c r="D60" s="1"/>
      <c r="E60" s="1"/>
      <c r="F60" s="1" t="s">
        <v>2157</v>
      </c>
      <c r="G60" s="1" t="s">
        <v>655</v>
      </c>
      <c r="H60" s="1" t="s">
        <v>1358</v>
      </c>
      <c r="I60" s="1"/>
      <c r="J60" s="1" t="s">
        <v>2158</v>
      </c>
      <c r="K60" s="1" t="s">
        <v>87</v>
      </c>
      <c r="L60" s="1" t="s">
        <v>2165</v>
      </c>
      <c r="M60" s="1" t="s">
        <v>93</v>
      </c>
      <c r="N60" s="1" t="s">
        <v>523</v>
      </c>
      <c r="O60" s="1" t="s">
        <v>1358</v>
      </c>
      <c r="P60" s="1"/>
      <c r="Q60" s="1"/>
    </row>
    <row r="61" spans="1:17" ht="58" x14ac:dyDescent="0.35">
      <c r="A61" s="1" t="s">
        <v>2156</v>
      </c>
      <c r="B61" s="1" t="s">
        <v>1414</v>
      </c>
      <c r="C61" s="1" t="s">
        <v>1625</v>
      </c>
      <c r="D61" s="1" t="s">
        <v>1623</v>
      </c>
      <c r="E61" s="1" t="s">
        <v>1624</v>
      </c>
      <c r="F61" s="1" t="s">
        <v>97</v>
      </c>
      <c r="G61" s="1"/>
      <c r="H61" s="1" t="s">
        <v>1358</v>
      </c>
      <c r="I61" s="1"/>
      <c r="J61" s="1" t="s">
        <v>2158</v>
      </c>
      <c r="K61" s="1" t="s">
        <v>86</v>
      </c>
      <c r="L61" s="1" t="s">
        <v>2165</v>
      </c>
      <c r="M61" s="1" t="s">
        <v>93</v>
      </c>
      <c r="N61" s="1" t="s">
        <v>2186</v>
      </c>
      <c r="O61" s="1" t="s">
        <v>1358</v>
      </c>
      <c r="P61" s="1"/>
      <c r="Q61" s="1"/>
    </row>
    <row r="62" spans="1:17" ht="58" x14ac:dyDescent="0.35">
      <c r="A62" s="1" t="s">
        <v>2156</v>
      </c>
      <c r="B62" s="1" t="s">
        <v>1414</v>
      </c>
      <c r="C62" s="1" t="s">
        <v>1625</v>
      </c>
      <c r="D62" s="1"/>
      <c r="E62" s="1"/>
      <c r="F62" s="1" t="s">
        <v>2157</v>
      </c>
      <c r="G62" s="1" t="s">
        <v>656</v>
      </c>
      <c r="H62" s="1" t="s">
        <v>1358</v>
      </c>
      <c r="I62" s="1"/>
      <c r="J62" s="1" t="s">
        <v>2158</v>
      </c>
      <c r="K62" s="1" t="s">
        <v>1515</v>
      </c>
      <c r="L62" s="1" t="s">
        <v>2165</v>
      </c>
      <c r="M62" s="1" t="s">
        <v>2187</v>
      </c>
      <c r="N62" s="1" t="s">
        <v>524</v>
      </c>
      <c r="O62" s="1" t="s">
        <v>1358</v>
      </c>
      <c r="P62" s="1"/>
      <c r="Q62" s="1"/>
    </row>
    <row r="63" spans="1:17" ht="58" x14ac:dyDescent="0.35">
      <c r="A63" s="1" t="s">
        <v>2156</v>
      </c>
      <c r="B63" s="1" t="s">
        <v>1414</v>
      </c>
      <c r="C63" s="1" t="s">
        <v>1650</v>
      </c>
      <c r="D63" s="1" t="s">
        <v>1655</v>
      </c>
      <c r="E63" s="1" t="s">
        <v>1656</v>
      </c>
      <c r="F63" s="1" t="s">
        <v>97</v>
      </c>
      <c r="G63" s="1"/>
      <c r="H63" s="1" t="s">
        <v>1402</v>
      </c>
      <c r="I63" s="1"/>
      <c r="J63" s="1" t="s">
        <v>2158</v>
      </c>
      <c r="K63" s="1" t="s">
        <v>1540</v>
      </c>
      <c r="L63" s="1" t="s">
        <v>2154</v>
      </c>
      <c r="M63" s="1" t="s">
        <v>93</v>
      </c>
      <c r="N63" s="1" t="s">
        <v>93</v>
      </c>
      <c r="O63" s="1" t="s">
        <v>1402</v>
      </c>
      <c r="P63" s="1"/>
      <c r="Q63" s="1"/>
    </row>
    <row r="64" spans="1:17" ht="58" x14ac:dyDescent="0.35">
      <c r="A64" s="1" t="s">
        <v>2156</v>
      </c>
      <c r="B64" s="1" t="s">
        <v>1414</v>
      </c>
      <c r="C64" s="1" t="s">
        <v>1671</v>
      </c>
      <c r="D64" s="1"/>
      <c r="E64" s="1"/>
      <c r="F64" s="1" t="s">
        <v>2153</v>
      </c>
      <c r="G64" s="1" t="s">
        <v>2154</v>
      </c>
      <c r="H64" s="1" t="s">
        <v>1402</v>
      </c>
      <c r="I64" s="1"/>
      <c r="J64" s="1" t="s">
        <v>2158</v>
      </c>
      <c r="K64" s="1" t="s">
        <v>1546</v>
      </c>
      <c r="L64" s="1" t="s">
        <v>2165</v>
      </c>
      <c r="M64" s="1" t="s">
        <v>2182</v>
      </c>
      <c r="N64" s="1" t="s">
        <v>93</v>
      </c>
      <c r="O64" s="1" t="s">
        <v>1402</v>
      </c>
      <c r="P64" s="1"/>
      <c r="Q64" s="1"/>
    </row>
    <row r="65" spans="1:17" ht="58" x14ac:dyDescent="0.35">
      <c r="A65" s="1" t="s">
        <v>2156</v>
      </c>
      <c r="B65" s="1" t="s">
        <v>1414</v>
      </c>
      <c r="C65" s="1" t="s">
        <v>1676</v>
      </c>
      <c r="D65" s="1"/>
      <c r="E65" s="1"/>
      <c r="F65" s="1" t="s">
        <v>2153</v>
      </c>
      <c r="G65" s="1" t="s">
        <v>2154</v>
      </c>
      <c r="H65" s="1" t="s">
        <v>1402</v>
      </c>
      <c r="I65" s="1"/>
      <c r="J65" s="1" t="s">
        <v>2158</v>
      </c>
      <c r="K65" s="1" t="s">
        <v>1567</v>
      </c>
      <c r="L65" s="1" t="s">
        <v>2165</v>
      </c>
      <c r="M65" s="1" t="s">
        <v>93</v>
      </c>
      <c r="N65" s="1" t="s">
        <v>526</v>
      </c>
      <c r="O65" s="1" t="s">
        <v>1358</v>
      </c>
      <c r="P65" s="1"/>
      <c r="Q65" s="1"/>
    </row>
    <row r="66" spans="1:17" ht="58" x14ac:dyDescent="0.35">
      <c r="A66" s="1" t="s">
        <v>2156</v>
      </c>
      <c r="B66" s="1" t="s">
        <v>1414</v>
      </c>
      <c r="C66" s="1" t="s">
        <v>1681</v>
      </c>
      <c r="D66" s="1"/>
      <c r="E66" s="1"/>
      <c r="F66" s="1" t="s">
        <v>2153</v>
      </c>
      <c r="G66" s="1" t="s">
        <v>2154</v>
      </c>
      <c r="H66" s="1" t="s">
        <v>1402</v>
      </c>
      <c r="I66" s="1"/>
      <c r="J66" s="1" t="s">
        <v>2158</v>
      </c>
      <c r="K66" s="1" t="s">
        <v>1580</v>
      </c>
      <c r="L66" s="1" t="s">
        <v>2154</v>
      </c>
      <c r="M66" s="1" t="s">
        <v>93</v>
      </c>
      <c r="N66" s="1" t="s">
        <v>93</v>
      </c>
      <c r="O66" s="1" t="s">
        <v>1402</v>
      </c>
      <c r="P66" s="1"/>
      <c r="Q66" s="1"/>
    </row>
    <row r="67" spans="1:17" ht="58" x14ac:dyDescent="0.35">
      <c r="A67" s="1" t="s">
        <v>2156</v>
      </c>
      <c r="B67" s="1" t="s">
        <v>1414</v>
      </c>
      <c r="C67" s="1" t="s">
        <v>95</v>
      </c>
      <c r="D67" s="1"/>
      <c r="E67" s="1"/>
      <c r="F67" s="1" t="s">
        <v>2153</v>
      </c>
      <c r="G67" s="1" t="s">
        <v>2154</v>
      </c>
      <c r="H67" s="1" t="s">
        <v>1402</v>
      </c>
      <c r="I67" s="1"/>
      <c r="J67" s="1" t="s">
        <v>2158</v>
      </c>
      <c r="K67" s="1" t="s">
        <v>1597</v>
      </c>
      <c r="L67" s="1" t="s">
        <v>2154</v>
      </c>
      <c r="M67" s="1" t="s">
        <v>93</v>
      </c>
      <c r="N67" s="1" t="s">
        <v>93</v>
      </c>
      <c r="O67" s="1" t="s">
        <v>1402</v>
      </c>
      <c r="P67" s="1"/>
      <c r="Q67" s="1"/>
    </row>
    <row r="68" spans="1:17" ht="58" x14ac:dyDescent="0.35">
      <c r="A68" s="1" t="s">
        <v>2156</v>
      </c>
      <c r="B68" s="1" t="s">
        <v>1414</v>
      </c>
      <c r="C68" s="1" t="s">
        <v>96</v>
      </c>
      <c r="D68" s="1"/>
      <c r="E68" s="1"/>
      <c r="F68" s="1" t="s">
        <v>2153</v>
      </c>
      <c r="G68" s="1" t="s">
        <v>2154</v>
      </c>
      <c r="H68" s="1" t="s">
        <v>1402</v>
      </c>
      <c r="I68" s="1"/>
      <c r="J68" s="1" t="s">
        <v>2158</v>
      </c>
      <c r="K68" s="1" t="s">
        <v>1612</v>
      </c>
      <c r="L68" s="1" t="s">
        <v>2154</v>
      </c>
      <c r="M68" s="1" t="s">
        <v>93</v>
      </c>
      <c r="N68" s="1" t="s">
        <v>93</v>
      </c>
      <c r="O68" s="1" t="s">
        <v>1402</v>
      </c>
      <c r="P68" s="1"/>
      <c r="Q68" s="1"/>
    </row>
    <row r="69" spans="1:17" ht="58" x14ac:dyDescent="0.35">
      <c r="A69" s="1" t="s">
        <v>2156</v>
      </c>
      <c r="B69" s="1" t="s">
        <v>1414</v>
      </c>
      <c r="C69" s="1" t="s">
        <v>1701</v>
      </c>
      <c r="D69" s="1"/>
      <c r="E69" s="1"/>
      <c r="F69" s="1" t="s">
        <v>2153</v>
      </c>
      <c r="G69" s="1" t="s">
        <v>2154</v>
      </c>
      <c r="H69" s="1" t="s">
        <v>1402</v>
      </c>
      <c r="I69" s="1"/>
      <c r="J69" s="1" t="s">
        <v>2158</v>
      </c>
      <c r="K69" s="1" t="s">
        <v>1625</v>
      </c>
      <c r="L69" s="1" t="s">
        <v>2165</v>
      </c>
      <c r="M69" s="1" t="s">
        <v>93</v>
      </c>
      <c r="N69" s="1" t="s">
        <v>527</v>
      </c>
      <c r="O69" s="1" t="s">
        <v>1358</v>
      </c>
      <c r="P69" s="1"/>
      <c r="Q69" s="1"/>
    </row>
    <row r="70" spans="1:17" ht="58" x14ac:dyDescent="0.35">
      <c r="A70" s="1" t="s">
        <v>2156</v>
      </c>
      <c r="B70" s="1" t="s">
        <v>1414</v>
      </c>
      <c r="C70" s="1" t="s">
        <v>1703</v>
      </c>
      <c r="D70" s="1" t="s">
        <v>1702</v>
      </c>
      <c r="E70" s="1" t="s">
        <v>1703</v>
      </c>
      <c r="F70" s="1" t="s">
        <v>97</v>
      </c>
      <c r="G70" s="1"/>
      <c r="H70" s="1" t="s">
        <v>1358</v>
      </c>
      <c r="I70" s="1"/>
      <c r="J70" s="1" t="s">
        <v>2158</v>
      </c>
      <c r="K70" s="1" t="s">
        <v>1650</v>
      </c>
      <c r="L70" s="1" t="s">
        <v>2165</v>
      </c>
      <c r="M70" s="1" t="s">
        <v>2188</v>
      </c>
      <c r="N70" s="1" t="s">
        <v>93</v>
      </c>
      <c r="O70" s="1" t="s">
        <v>1402</v>
      </c>
      <c r="P70" s="1"/>
      <c r="Q70" s="1"/>
    </row>
    <row r="71" spans="1:17" ht="58" x14ac:dyDescent="0.35">
      <c r="A71" s="1" t="s">
        <v>2156</v>
      </c>
      <c r="B71" s="1" t="s">
        <v>1414</v>
      </c>
      <c r="C71" s="1" t="s">
        <v>1703</v>
      </c>
      <c r="D71" s="1"/>
      <c r="E71" s="1"/>
      <c r="F71" s="1" t="s">
        <v>2157</v>
      </c>
      <c r="G71" s="1" t="s">
        <v>657</v>
      </c>
      <c r="H71" s="1" t="s">
        <v>1358</v>
      </c>
      <c r="I71" s="1"/>
      <c r="J71" s="1" t="s">
        <v>2158</v>
      </c>
      <c r="K71" s="1" t="s">
        <v>1671</v>
      </c>
      <c r="L71" s="1" t="s">
        <v>2154</v>
      </c>
      <c r="M71" s="1" t="s">
        <v>93</v>
      </c>
      <c r="N71" s="1" t="s">
        <v>93</v>
      </c>
      <c r="O71" s="1" t="s">
        <v>1402</v>
      </c>
      <c r="P71" s="1"/>
      <c r="Q71" s="1"/>
    </row>
    <row r="72" spans="1:17" ht="58" x14ac:dyDescent="0.35">
      <c r="A72" s="1" t="s">
        <v>2158</v>
      </c>
      <c r="B72" s="1" t="s">
        <v>1414</v>
      </c>
      <c r="C72" s="1" t="s">
        <v>84</v>
      </c>
      <c r="D72" s="1" t="s">
        <v>1411</v>
      </c>
      <c r="E72" s="1" t="s">
        <v>1412</v>
      </c>
      <c r="F72" s="1" t="s">
        <v>97</v>
      </c>
      <c r="G72" s="1"/>
      <c r="H72" s="1" t="s">
        <v>1402</v>
      </c>
      <c r="I72" s="1"/>
      <c r="J72" s="1" t="s">
        <v>2158</v>
      </c>
      <c r="K72" s="1" t="s">
        <v>1676</v>
      </c>
      <c r="L72" s="1" t="s">
        <v>2154</v>
      </c>
      <c r="M72" s="1" t="s">
        <v>93</v>
      </c>
      <c r="N72" s="1" t="s">
        <v>93</v>
      </c>
      <c r="O72" s="1" t="s">
        <v>1402</v>
      </c>
      <c r="P72" s="1"/>
      <c r="Q72" s="1"/>
    </row>
    <row r="73" spans="1:17" ht="58" x14ac:dyDescent="0.35">
      <c r="A73" s="1" t="s">
        <v>2158</v>
      </c>
      <c r="B73" s="1" t="s">
        <v>1414</v>
      </c>
      <c r="C73" s="1" t="s">
        <v>84</v>
      </c>
      <c r="D73" s="1" t="s">
        <v>1407</v>
      </c>
      <c r="E73" s="1" t="s">
        <v>89</v>
      </c>
      <c r="F73" s="1" t="s">
        <v>97</v>
      </c>
      <c r="G73" s="1"/>
      <c r="H73" s="1" t="s">
        <v>1402</v>
      </c>
      <c r="I73" s="1"/>
      <c r="J73" s="1" t="s">
        <v>2158</v>
      </c>
      <c r="K73" s="1" t="s">
        <v>1681</v>
      </c>
      <c r="L73" s="1" t="s">
        <v>2154</v>
      </c>
      <c r="M73" s="1" t="s">
        <v>93</v>
      </c>
      <c r="N73" s="1" t="s">
        <v>93</v>
      </c>
      <c r="O73" s="1" t="s">
        <v>1402</v>
      </c>
      <c r="P73" s="1"/>
      <c r="Q73" s="1"/>
    </row>
    <row r="74" spans="1:17" ht="58" x14ac:dyDescent="0.35">
      <c r="A74" s="1" t="s">
        <v>2158</v>
      </c>
      <c r="B74" s="1" t="s">
        <v>1414</v>
      </c>
      <c r="C74" s="1" t="s">
        <v>87</v>
      </c>
      <c r="D74" s="1"/>
      <c r="E74" s="1"/>
      <c r="F74" s="1" t="s">
        <v>390</v>
      </c>
      <c r="G74" s="1" t="s">
        <v>523</v>
      </c>
      <c r="H74" s="1" t="s">
        <v>1358</v>
      </c>
      <c r="I74" s="1"/>
      <c r="J74" s="1" t="s">
        <v>2158</v>
      </c>
      <c r="K74" s="1" t="s">
        <v>95</v>
      </c>
      <c r="L74" s="1" t="s">
        <v>2165</v>
      </c>
      <c r="M74" s="1" t="s">
        <v>2189</v>
      </c>
      <c r="N74" s="1" t="s">
        <v>529</v>
      </c>
      <c r="O74" s="1" t="s">
        <v>1358</v>
      </c>
      <c r="P74" s="1"/>
      <c r="Q74" s="1"/>
    </row>
    <row r="75" spans="1:17" ht="58" x14ac:dyDescent="0.35">
      <c r="A75" s="1" t="s">
        <v>2158</v>
      </c>
      <c r="B75" s="1" t="s">
        <v>1414</v>
      </c>
      <c r="C75" s="1" t="s">
        <v>87</v>
      </c>
      <c r="D75" s="1"/>
      <c r="E75" s="1"/>
      <c r="F75" s="1" t="s">
        <v>390</v>
      </c>
      <c r="G75" s="1" t="s">
        <v>523</v>
      </c>
      <c r="H75" s="1" t="s">
        <v>1358</v>
      </c>
      <c r="I75" s="1"/>
      <c r="J75" s="1" t="s">
        <v>2158</v>
      </c>
      <c r="K75" s="1" t="s">
        <v>96</v>
      </c>
      <c r="L75" s="1" t="s">
        <v>2154</v>
      </c>
      <c r="M75" s="1" t="s">
        <v>93</v>
      </c>
      <c r="N75" s="1" t="s">
        <v>93</v>
      </c>
      <c r="O75" s="1" t="s">
        <v>1402</v>
      </c>
      <c r="P75" s="1"/>
      <c r="Q75" s="1"/>
    </row>
    <row r="76" spans="1:17" ht="58" x14ac:dyDescent="0.35">
      <c r="A76" s="1" t="s">
        <v>2158</v>
      </c>
      <c r="B76" s="1" t="s">
        <v>1414</v>
      </c>
      <c r="C76" s="1" t="s">
        <v>86</v>
      </c>
      <c r="D76" s="1"/>
      <c r="E76" s="1"/>
      <c r="F76" s="1" t="s">
        <v>2157</v>
      </c>
      <c r="G76" s="1" t="s">
        <v>661</v>
      </c>
      <c r="H76" s="1" t="s">
        <v>1358</v>
      </c>
      <c r="I76" s="1"/>
      <c r="J76" s="1" t="s">
        <v>2158</v>
      </c>
      <c r="K76" s="1" t="s">
        <v>1701</v>
      </c>
      <c r="L76" s="1" t="s">
        <v>2154</v>
      </c>
      <c r="M76" s="1" t="s">
        <v>93</v>
      </c>
      <c r="N76" s="1" t="s">
        <v>93</v>
      </c>
      <c r="O76" s="1" t="s">
        <v>1402</v>
      </c>
      <c r="P76" s="1"/>
      <c r="Q76" s="1"/>
    </row>
    <row r="77" spans="1:17" ht="58" x14ac:dyDescent="0.35">
      <c r="A77" s="1" t="s">
        <v>2158</v>
      </c>
      <c r="B77" s="1" t="s">
        <v>1414</v>
      </c>
      <c r="C77" s="1" t="s">
        <v>86</v>
      </c>
      <c r="D77" s="1"/>
      <c r="E77" s="1"/>
      <c r="F77" s="1" t="s">
        <v>390</v>
      </c>
      <c r="G77" s="1" t="s">
        <v>662</v>
      </c>
      <c r="H77" s="1" t="s">
        <v>1358</v>
      </c>
      <c r="I77" s="1"/>
      <c r="J77" s="1" t="s">
        <v>2158</v>
      </c>
      <c r="K77" s="1" t="s">
        <v>1703</v>
      </c>
      <c r="L77" s="1" t="s">
        <v>2165</v>
      </c>
      <c r="M77" s="1" t="s">
        <v>2190</v>
      </c>
      <c r="N77" s="1" t="s">
        <v>530</v>
      </c>
      <c r="O77" s="1" t="s">
        <v>1358</v>
      </c>
      <c r="P77" s="1"/>
      <c r="Q77" s="1"/>
    </row>
    <row r="78" spans="1:17" ht="58" x14ac:dyDescent="0.35">
      <c r="A78" s="1" t="s">
        <v>2158</v>
      </c>
      <c r="B78" s="1" t="s">
        <v>1414</v>
      </c>
      <c r="C78" s="1" t="s">
        <v>1515</v>
      </c>
      <c r="D78" s="1" t="s">
        <v>1520</v>
      </c>
      <c r="E78" s="1" t="s">
        <v>1521</v>
      </c>
      <c r="F78" s="1" t="s">
        <v>97</v>
      </c>
      <c r="G78" s="1"/>
      <c r="H78" s="1" t="s">
        <v>1358</v>
      </c>
      <c r="I78" s="1"/>
      <c r="J78" s="1" t="s">
        <v>1418</v>
      </c>
      <c r="K78" s="1" t="s">
        <v>84</v>
      </c>
      <c r="L78" s="1" t="s">
        <v>2165</v>
      </c>
      <c r="M78" s="1" t="s">
        <v>2191</v>
      </c>
      <c r="N78" s="1" t="s">
        <v>536</v>
      </c>
      <c r="O78" s="1" t="s">
        <v>1358</v>
      </c>
      <c r="P78" s="1"/>
      <c r="Q78" s="1"/>
    </row>
    <row r="79" spans="1:17" ht="58" x14ac:dyDescent="0.35">
      <c r="A79" s="1" t="s">
        <v>2158</v>
      </c>
      <c r="B79" s="1" t="s">
        <v>1414</v>
      </c>
      <c r="C79" s="1" t="s">
        <v>1515</v>
      </c>
      <c r="D79" s="1" t="s">
        <v>1516</v>
      </c>
      <c r="E79" s="1" t="s">
        <v>1517</v>
      </c>
      <c r="F79" s="1" t="s">
        <v>97</v>
      </c>
      <c r="G79" s="1"/>
      <c r="H79" s="1" t="s">
        <v>1358</v>
      </c>
      <c r="I79" s="1"/>
      <c r="J79" s="1" t="s">
        <v>1418</v>
      </c>
      <c r="K79" s="1" t="s">
        <v>87</v>
      </c>
      <c r="L79" s="1" t="s">
        <v>2165</v>
      </c>
      <c r="M79" s="1" t="s">
        <v>2167</v>
      </c>
      <c r="N79" s="1" t="s">
        <v>537</v>
      </c>
      <c r="O79" s="1" t="s">
        <v>1358</v>
      </c>
      <c r="P79" s="1"/>
      <c r="Q79" s="1"/>
    </row>
    <row r="80" spans="1:17" ht="58" x14ac:dyDescent="0.35">
      <c r="A80" s="1" t="s">
        <v>2158</v>
      </c>
      <c r="B80" s="1" t="s">
        <v>1414</v>
      </c>
      <c r="C80" s="1" t="s">
        <v>1515</v>
      </c>
      <c r="D80" s="1"/>
      <c r="E80" s="1"/>
      <c r="F80" s="1" t="s">
        <v>390</v>
      </c>
      <c r="G80" s="1" t="s">
        <v>524</v>
      </c>
      <c r="H80" s="1" t="s">
        <v>1358</v>
      </c>
      <c r="I80" s="1"/>
      <c r="J80" s="1" t="s">
        <v>1418</v>
      </c>
      <c r="K80" s="1" t="s">
        <v>86</v>
      </c>
      <c r="L80" s="1" t="s">
        <v>2165</v>
      </c>
      <c r="M80" s="1" t="s">
        <v>93</v>
      </c>
      <c r="N80" s="1" t="s">
        <v>663</v>
      </c>
      <c r="O80" s="1" t="s">
        <v>1358</v>
      </c>
      <c r="P80" s="1"/>
      <c r="Q80" s="1"/>
    </row>
    <row r="81" spans="1:17" ht="58" x14ac:dyDescent="0.35">
      <c r="A81" s="1" t="s">
        <v>2158</v>
      </c>
      <c r="B81" s="1" t="s">
        <v>1414</v>
      </c>
      <c r="C81" s="1" t="s">
        <v>1515</v>
      </c>
      <c r="D81" s="1" t="s">
        <v>1520</v>
      </c>
      <c r="E81" s="1" t="s">
        <v>1521</v>
      </c>
      <c r="F81" s="1" t="s">
        <v>97</v>
      </c>
      <c r="G81" s="1"/>
      <c r="H81" s="1" t="s">
        <v>1358</v>
      </c>
      <c r="I81" s="1"/>
      <c r="J81" s="1" t="s">
        <v>1418</v>
      </c>
      <c r="K81" s="1" t="s">
        <v>1515</v>
      </c>
      <c r="L81" s="1" t="s">
        <v>2165</v>
      </c>
      <c r="M81" s="1" t="s">
        <v>2187</v>
      </c>
      <c r="N81" s="1" t="s">
        <v>524</v>
      </c>
      <c r="O81" s="1" t="s">
        <v>1358</v>
      </c>
      <c r="P81" s="1"/>
      <c r="Q81" s="1"/>
    </row>
    <row r="82" spans="1:17" ht="58" x14ac:dyDescent="0.35">
      <c r="A82" s="1" t="s">
        <v>2158</v>
      </c>
      <c r="B82" s="1" t="s">
        <v>1414</v>
      </c>
      <c r="C82" s="1" t="s">
        <v>1515</v>
      </c>
      <c r="D82" s="1" t="s">
        <v>1516</v>
      </c>
      <c r="E82" s="1" t="s">
        <v>1517</v>
      </c>
      <c r="F82" s="1" t="s">
        <v>97</v>
      </c>
      <c r="G82" s="1"/>
      <c r="H82" s="1" t="s">
        <v>1358</v>
      </c>
      <c r="I82" s="1"/>
      <c r="J82" s="1" t="s">
        <v>1418</v>
      </c>
      <c r="K82" s="1" t="s">
        <v>1540</v>
      </c>
      <c r="L82" s="1" t="s">
        <v>2154</v>
      </c>
      <c r="M82" s="1" t="s">
        <v>93</v>
      </c>
      <c r="N82" s="1" t="s">
        <v>93</v>
      </c>
      <c r="O82" s="1" t="s">
        <v>1402</v>
      </c>
      <c r="P82" s="1"/>
      <c r="Q82" s="1"/>
    </row>
    <row r="83" spans="1:17" ht="58" x14ac:dyDescent="0.35">
      <c r="A83" s="1" t="s">
        <v>2158</v>
      </c>
      <c r="B83" s="1" t="s">
        <v>1414</v>
      </c>
      <c r="C83" s="1" t="s">
        <v>1515</v>
      </c>
      <c r="D83" s="1"/>
      <c r="E83" s="1"/>
      <c r="F83" s="1" t="s">
        <v>390</v>
      </c>
      <c r="G83" s="1" t="s">
        <v>524</v>
      </c>
      <c r="H83" s="1" t="s">
        <v>1358</v>
      </c>
      <c r="I83" s="1"/>
      <c r="J83" s="1" t="s">
        <v>1418</v>
      </c>
      <c r="K83" s="1" t="s">
        <v>1546</v>
      </c>
      <c r="L83" s="1" t="s">
        <v>2165</v>
      </c>
      <c r="M83" s="1" t="s">
        <v>2182</v>
      </c>
      <c r="N83" s="1" t="s">
        <v>93</v>
      </c>
      <c r="O83" s="1" t="s">
        <v>1402</v>
      </c>
      <c r="P83" s="1"/>
      <c r="Q83" s="1"/>
    </row>
    <row r="84" spans="1:17" ht="58" x14ac:dyDescent="0.35">
      <c r="A84" s="1" t="s">
        <v>2158</v>
      </c>
      <c r="B84" s="1" t="s">
        <v>1414</v>
      </c>
      <c r="C84" s="1" t="s">
        <v>1540</v>
      </c>
      <c r="D84" s="1"/>
      <c r="E84" s="1"/>
      <c r="F84" s="1" t="s">
        <v>2153</v>
      </c>
      <c r="G84" s="1" t="s">
        <v>2154</v>
      </c>
      <c r="H84" s="1" t="s">
        <v>1402</v>
      </c>
      <c r="I84" s="1"/>
      <c r="J84" s="1" t="s">
        <v>1418</v>
      </c>
      <c r="K84" s="1" t="s">
        <v>1567</v>
      </c>
      <c r="L84" s="1" t="s">
        <v>2165</v>
      </c>
      <c r="M84" s="1" t="s">
        <v>93</v>
      </c>
      <c r="N84" s="1" t="s">
        <v>526</v>
      </c>
      <c r="O84" s="1" t="s">
        <v>1358</v>
      </c>
      <c r="P84" s="1"/>
      <c r="Q84" s="1"/>
    </row>
    <row r="85" spans="1:17" ht="58" x14ac:dyDescent="0.35">
      <c r="A85" s="1" t="s">
        <v>2158</v>
      </c>
      <c r="B85" s="1" t="s">
        <v>1414</v>
      </c>
      <c r="C85" s="1" t="s">
        <v>1546</v>
      </c>
      <c r="D85" s="1" t="s">
        <v>1547</v>
      </c>
      <c r="E85" s="1" t="s">
        <v>1548</v>
      </c>
      <c r="F85" s="1" t="s">
        <v>97</v>
      </c>
      <c r="G85" s="1"/>
      <c r="H85" s="1" t="s">
        <v>1402</v>
      </c>
      <c r="I85" s="1"/>
      <c r="J85" s="1" t="s">
        <v>1418</v>
      </c>
      <c r="K85" s="1" t="s">
        <v>1580</v>
      </c>
      <c r="L85" s="1" t="s">
        <v>2154</v>
      </c>
      <c r="M85" s="1" t="s">
        <v>93</v>
      </c>
      <c r="N85" s="1" t="s">
        <v>93</v>
      </c>
      <c r="O85" s="1" t="s">
        <v>1402</v>
      </c>
      <c r="P85" s="1"/>
      <c r="Q85" s="1"/>
    </row>
    <row r="86" spans="1:17" ht="58" x14ac:dyDescent="0.35">
      <c r="A86" s="1" t="s">
        <v>2158</v>
      </c>
      <c r="B86" s="1" t="s">
        <v>1414</v>
      </c>
      <c r="C86" s="1" t="s">
        <v>1546</v>
      </c>
      <c r="D86" s="1" t="s">
        <v>1547</v>
      </c>
      <c r="E86" s="1" t="s">
        <v>1548</v>
      </c>
      <c r="F86" s="1" t="s">
        <v>97</v>
      </c>
      <c r="G86" s="1"/>
      <c r="H86" s="1" t="s">
        <v>1402</v>
      </c>
      <c r="I86" s="1"/>
      <c r="J86" s="1" t="s">
        <v>1418</v>
      </c>
      <c r="K86" s="1" t="s">
        <v>1597</v>
      </c>
      <c r="L86" s="1" t="s">
        <v>2154</v>
      </c>
      <c r="M86" s="1" t="s">
        <v>93</v>
      </c>
      <c r="N86" s="1" t="s">
        <v>93</v>
      </c>
      <c r="O86" s="1" t="s">
        <v>1402</v>
      </c>
      <c r="P86" s="1"/>
      <c r="Q86" s="1"/>
    </row>
    <row r="87" spans="1:17" ht="58" x14ac:dyDescent="0.35">
      <c r="A87" s="1" t="s">
        <v>2158</v>
      </c>
      <c r="B87" s="1" t="s">
        <v>1414</v>
      </c>
      <c r="C87" s="1" t="s">
        <v>1567</v>
      </c>
      <c r="D87" s="1"/>
      <c r="E87" s="1"/>
      <c r="F87" s="1" t="s">
        <v>390</v>
      </c>
      <c r="G87" s="1" t="s">
        <v>526</v>
      </c>
      <c r="H87" s="1" t="s">
        <v>1358</v>
      </c>
      <c r="I87" s="1"/>
      <c r="J87" s="1" t="s">
        <v>1418</v>
      </c>
      <c r="K87" s="1" t="s">
        <v>1612</v>
      </c>
      <c r="L87" s="1" t="s">
        <v>2154</v>
      </c>
      <c r="M87" s="1" t="s">
        <v>93</v>
      </c>
      <c r="N87" s="1" t="s">
        <v>93</v>
      </c>
      <c r="O87" s="1" t="s">
        <v>1402</v>
      </c>
      <c r="P87" s="1"/>
      <c r="Q87" s="1"/>
    </row>
    <row r="88" spans="1:17" ht="58" x14ac:dyDescent="0.35">
      <c r="A88" s="1" t="s">
        <v>2158</v>
      </c>
      <c r="B88" s="1" t="s">
        <v>1414</v>
      </c>
      <c r="C88" s="1" t="s">
        <v>1567</v>
      </c>
      <c r="D88" s="1"/>
      <c r="E88" s="1"/>
      <c r="F88" s="1" t="s">
        <v>390</v>
      </c>
      <c r="G88" s="1" t="s">
        <v>526</v>
      </c>
      <c r="H88" s="1" t="s">
        <v>1358</v>
      </c>
      <c r="I88" s="1"/>
      <c r="J88" s="1" t="s">
        <v>1418</v>
      </c>
      <c r="K88" s="1" t="s">
        <v>1625</v>
      </c>
      <c r="L88" s="1" t="s">
        <v>2165</v>
      </c>
      <c r="M88" s="1" t="s">
        <v>93</v>
      </c>
      <c r="N88" s="1" t="s">
        <v>527</v>
      </c>
      <c r="O88" s="1" t="s">
        <v>1358</v>
      </c>
      <c r="P88" s="1"/>
      <c r="Q88" s="1"/>
    </row>
    <row r="89" spans="1:17" ht="58" x14ac:dyDescent="0.35">
      <c r="A89" s="1" t="s">
        <v>2158</v>
      </c>
      <c r="B89" s="1" t="s">
        <v>1414</v>
      </c>
      <c r="C89" s="1" t="s">
        <v>1580</v>
      </c>
      <c r="D89" s="1"/>
      <c r="E89" s="1"/>
      <c r="F89" s="1" t="s">
        <v>2153</v>
      </c>
      <c r="G89" s="1" t="s">
        <v>2154</v>
      </c>
      <c r="H89" s="1" t="s">
        <v>1402</v>
      </c>
      <c r="I89" s="1"/>
      <c r="J89" s="1" t="s">
        <v>1418</v>
      </c>
      <c r="K89" s="1" t="s">
        <v>1650</v>
      </c>
      <c r="L89" s="1" t="s">
        <v>2165</v>
      </c>
      <c r="M89" s="1" t="s">
        <v>2188</v>
      </c>
      <c r="N89" s="1" t="s">
        <v>93</v>
      </c>
      <c r="O89" s="1" t="s">
        <v>1402</v>
      </c>
      <c r="P89" s="1"/>
      <c r="Q89" s="1"/>
    </row>
    <row r="90" spans="1:17" ht="58" x14ac:dyDescent="0.35">
      <c r="A90" s="1" t="s">
        <v>2158</v>
      </c>
      <c r="B90" s="1" t="s">
        <v>1414</v>
      </c>
      <c r="C90" s="1" t="s">
        <v>1597</v>
      </c>
      <c r="D90" s="1"/>
      <c r="E90" s="1"/>
      <c r="F90" s="1" t="s">
        <v>2153</v>
      </c>
      <c r="G90" s="1" t="s">
        <v>2154</v>
      </c>
      <c r="H90" s="1" t="s">
        <v>1402</v>
      </c>
      <c r="I90" s="1"/>
      <c r="J90" s="1" t="s">
        <v>1418</v>
      </c>
      <c r="K90" s="1" t="s">
        <v>1671</v>
      </c>
      <c r="L90" s="1" t="s">
        <v>2165</v>
      </c>
      <c r="M90" s="1" t="s">
        <v>2192</v>
      </c>
      <c r="N90" s="1" t="s">
        <v>93</v>
      </c>
      <c r="O90" s="1" t="s">
        <v>1402</v>
      </c>
      <c r="P90" s="1"/>
      <c r="Q90" s="1"/>
    </row>
    <row r="91" spans="1:17" ht="58" x14ac:dyDescent="0.35">
      <c r="A91" s="1" t="s">
        <v>2158</v>
      </c>
      <c r="B91" s="1" t="s">
        <v>1414</v>
      </c>
      <c r="C91" s="1" t="s">
        <v>1612</v>
      </c>
      <c r="D91" s="1"/>
      <c r="E91" s="1"/>
      <c r="F91" s="1" t="s">
        <v>2153</v>
      </c>
      <c r="G91" s="1" t="s">
        <v>2154</v>
      </c>
      <c r="H91" s="1" t="s">
        <v>1402</v>
      </c>
      <c r="I91" s="1"/>
      <c r="J91" s="1" t="s">
        <v>1418</v>
      </c>
      <c r="K91" s="1" t="s">
        <v>1676</v>
      </c>
      <c r="L91" s="1" t="s">
        <v>2165</v>
      </c>
      <c r="M91" s="1" t="s">
        <v>2193</v>
      </c>
      <c r="N91" s="1" t="s">
        <v>93</v>
      </c>
      <c r="O91" s="1" t="s">
        <v>1402</v>
      </c>
      <c r="P91" s="1"/>
      <c r="Q91" s="1"/>
    </row>
    <row r="92" spans="1:17" ht="58" x14ac:dyDescent="0.35">
      <c r="A92" s="1" t="s">
        <v>2158</v>
      </c>
      <c r="B92" s="1" t="s">
        <v>1414</v>
      </c>
      <c r="C92" s="1" t="s">
        <v>1625</v>
      </c>
      <c r="D92" s="1"/>
      <c r="E92" s="1"/>
      <c r="F92" s="1" t="s">
        <v>2157</v>
      </c>
      <c r="G92" s="1" t="s">
        <v>527</v>
      </c>
      <c r="H92" s="1" t="s">
        <v>1358</v>
      </c>
      <c r="I92" s="1"/>
      <c r="J92" s="1" t="s">
        <v>1418</v>
      </c>
      <c r="K92" s="1" t="s">
        <v>1681</v>
      </c>
      <c r="L92" s="1" t="s">
        <v>2165</v>
      </c>
      <c r="M92" s="1" t="s">
        <v>2194</v>
      </c>
      <c r="N92" s="1" t="s">
        <v>93</v>
      </c>
      <c r="O92" s="1" t="s">
        <v>1402</v>
      </c>
      <c r="P92" s="1"/>
      <c r="Q92" s="1"/>
    </row>
    <row r="93" spans="1:17" ht="58" x14ac:dyDescent="0.35">
      <c r="A93" s="1" t="s">
        <v>2158</v>
      </c>
      <c r="B93" s="1" t="s">
        <v>1414</v>
      </c>
      <c r="C93" s="1" t="s">
        <v>1625</v>
      </c>
      <c r="D93" s="1"/>
      <c r="E93" s="1"/>
      <c r="F93" s="1" t="s">
        <v>2157</v>
      </c>
      <c r="G93" s="1" t="s">
        <v>527</v>
      </c>
      <c r="H93" s="1" t="s">
        <v>1358</v>
      </c>
      <c r="I93" s="1"/>
      <c r="J93" s="1" t="s">
        <v>1418</v>
      </c>
      <c r="K93" s="1" t="s">
        <v>95</v>
      </c>
      <c r="L93" s="1" t="s">
        <v>2165</v>
      </c>
      <c r="M93" s="1" t="s">
        <v>93</v>
      </c>
      <c r="N93" s="1" t="s">
        <v>541</v>
      </c>
      <c r="O93" s="1" t="s">
        <v>1358</v>
      </c>
      <c r="P93" s="1"/>
      <c r="Q93" s="1"/>
    </row>
    <row r="94" spans="1:17" ht="58" x14ac:dyDescent="0.35">
      <c r="A94" s="1" t="s">
        <v>2158</v>
      </c>
      <c r="B94" s="1" t="s">
        <v>1414</v>
      </c>
      <c r="C94" s="1" t="s">
        <v>1650</v>
      </c>
      <c r="D94" s="1" t="s">
        <v>1657</v>
      </c>
      <c r="E94" s="1" t="s">
        <v>1658</v>
      </c>
      <c r="F94" s="1" t="s">
        <v>97</v>
      </c>
      <c r="G94" s="1"/>
      <c r="H94" s="1" t="s">
        <v>1402</v>
      </c>
      <c r="I94" s="1"/>
      <c r="J94" s="1" t="s">
        <v>1418</v>
      </c>
      <c r="K94" s="1" t="s">
        <v>96</v>
      </c>
      <c r="L94" s="1" t="s">
        <v>2154</v>
      </c>
      <c r="M94" s="1" t="s">
        <v>93</v>
      </c>
      <c r="N94" s="1" t="s">
        <v>93</v>
      </c>
      <c r="O94" s="1" t="s">
        <v>1402</v>
      </c>
      <c r="P94" s="1"/>
      <c r="Q94" s="1"/>
    </row>
    <row r="95" spans="1:17" ht="58" x14ac:dyDescent="0.35">
      <c r="A95" s="1" t="s">
        <v>2158</v>
      </c>
      <c r="B95" s="1" t="s">
        <v>1414</v>
      </c>
      <c r="C95" s="1" t="s">
        <v>1650</v>
      </c>
      <c r="D95" s="1" t="s">
        <v>1657</v>
      </c>
      <c r="E95" s="1" t="s">
        <v>1658</v>
      </c>
      <c r="F95" s="1" t="s">
        <v>97</v>
      </c>
      <c r="G95" s="1"/>
      <c r="H95" s="1" t="s">
        <v>1402</v>
      </c>
      <c r="I95" s="1"/>
      <c r="J95" s="1" t="s">
        <v>1418</v>
      </c>
      <c r="K95" s="1" t="s">
        <v>1701</v>
      </c>
      <c r="L95" s="1" t="s">
        <v>2154</v>
      </c>
      <c r="M95" s="1" t="s">
        <v>93</v>
      </c>
      <c r="N95" s="1" t="s">
        <v>93</v>
      </c>
      <c r="O95" s="1" t="s">
        <v>1402</v>
      </c>
      <c r="P95" s="1"/>
      <c r="Q95" s="1"/>
    </row>
    <row r="96" spans="1:17" ht="58" x14ac:dyDescent="0.35">
      <c r="A96" s="1" t="s">
        <v>2158</v>
      </c>
      <c r="B96" s="1" t="s">
        <v>1414</v>
      </c>
      <c r="C96" s="1" t="s">
        <v>1671</v>
      </c>
      <c r="D96" s="1"/>
      <c r="E96" s="1"/>
      <c r="F96" s="1" t="s">
        <v>2153</v>
      </c>
      <c r="G96" s="1" t="s">
        <v>2154</v>
      </c>
      <c r="H96" s="1" t="s">
        <v>1402</v>
      </c>
      <c r="I96" s="1"/>
      <c r="J96" s="1" t="s">
        <v>1418</v>
      </c>
      <c r="K96" s="1" t="s">
        <v>1703</v>
      </c>
      <c r="L96" s="1" t="s">
        <v>2154</v>
      </c>
      <c r="M96" s="1" t="s">
        <v>93</v>
      </c>
      <c r="N96" s="1" t="s">
        <v>93</v>
      </c>
      <c r="O96" s="1" t="s">
        <v>1402</v>
      </c>
      <c r="P96" s="1"/>
      <c r="Q96" s="1"/>
    </row>
    <row r="97" spans="1:17" ht="58" x14ac:dyDescent="0.35">
      <c r="A97" s="1" t="s">
        <v>2158</v>
      </c>
      <c r="B97" s="1" t="s">
        <v>1414</v>
      </c>
      <c r="C97" s="1" t="s">
        <v>1676</v>
      </c>
      <c r="D97" s="1"/>
      <c r="E97" s="1"/>
      <c r="F97" s="1" t="s">
        <v>2153</v>
      </c>
      <c r="G97" s="1" t="s">
        <v>2154</v>
      </c>
      <c r="H97" s="1" t="s">
        <v>1402</v>
      </c>
      <c r="I97" s="1"/>
      <c r="J97" s="1" t="s">
        <v>1422</v>
      </c>
      <c r="K97" s="1" t="s">
        <v>84</v>
      </c>
      <c r="L97" s="1" t="s">
        <v>2165</v>
      </c>
      <c r="M97" s="1" t="s">
        <v>2195</v>
      </c>
      <c r="N97" s="1" t="s">
        <v>93</v>
      </c>
      <c r="O97" s="1" t="s">
        <v>1402</v>
      </c>
      <c r="P97" s="1"/>
      <c r="Q97" s="1"/>
    </row>
    <row r="98" spans="1:17" ht="58" x14ac:dyDescent="0.35">
      <c r="A98" s="1" t="s">
        <v>2158</v>
      </c>
      <c r="B98" s="1" t="s">
        <v>1414</v>
      </c>
      <c r="C98" s="1" t="s">
        <v>1681</v>
      </c>
      <c r="D98" s="1"/>
      <c r="E98" s="1"/>
      <c r="F98" s="1" t="s">
        <v>2153</v>
      </c>
      <c r="G98" s="1" t="s">
        <v>2154</v>
      </c>
      <c r="H98" s="1" t="s">
        <v>1402</v>
      </c>
      <c r="I98" s="1"/>
      <c r="J98" s="1" t="s">
        <v>1422</v>
      </c>
      <c r="K98" s="1" t="s">
        <v>87</v>
      </c>
      <c r="L98" s="1" t="s">
        <v>2154</v>
      </c>
      <c r="M98" s="1" t="s">
        <v>93</v>
      </c>
      <c r="N98" s="1" t="s">
        <v>93</v>
      </c>
      <c r="O98" s="1" t="s">
        <v>1402</v>
      </c>
      <c r="P98" s="1"/>
      <c r="Q98" s="1"/>
    </row>
    <row r="99" spans="1:17" ht="58" x14ac:dyDescent="0.35">
      <c r="A99" s="1" t="s">
        <v>2158</v>
      </c>
      <c r="B99" s="1" t="s">
        <v>1414</v>
      </c>
      <c r="C99" s="1" t="s">
        <v>95</v>
      </c>
      <c r="D99" s="1" t="s">
        <v>1691</v>
      </c>
      <c r="E99" s="1" t="s">
        <v>1692</v>
      </c>
      <c r="F99" s="1" t="s">
        <v>97</v>
      </c>
      <c r="G99" s="1"/>
      <c r="H99" s="1" t="s">
        <v>1358</v>
      </c>
      <c r="I99" s="1"/>
      <c r="J99" s="1" t="s">
        <v>1422</v>
      </c>
      <c r="K99" s="1" t="s">
        <v>86</v>
      </c>
      <c r="L99" s="1" t="s">
        <v>2165</v>
      </c>
      <c r="M99" s="1" t="s">
        <v>2168</v>
      </c>
      <c r="N99" s="1" t="s">
        <v>664</v>
      </c>
      <c r="O99" s="1" t="s">
        <v>1358</v>
      </c>
      <c r="P99" s="1"/>
      <c r="Q99" s="1"/>
    </row>
    <row r="100" spans="1:17" ht="58" x14ac:dyDescent="0.35">
      <c r="A100" s="1" t="s">
        <v>2158</v>
      </c>
      <c r="B100" s="1" t="s">
        <v>1414</v>
      </c>
      <c r="C100" s="1" t="s">
        <v>95</v>
      </c>
      <c r="D100" s="1"/>
      <c r="E100" s="1"/>
      <c r="F100" s="1" t="s">
        <v>390</v>
      </c>
      <c r="G100" s="1" t="s">
        <v>529</v>
      </c>
      <c r="H100" s="1" t="s">
        <v>1358</v>
      </c>
      <c r="I100" s="1"/>
      <c r="J100" s="1" t="s">
        <v>1422</v>
      </c>
      <c r="K100" s="1" t="s">
        <v>1515</v>
      </c>
      <c r="L100" s="1" t="s">
        <v>2154</v>
      </c>
      <c r="M100" s="1" t="s">
        <v>93</v>
      </c>
      <c r="N100" s="1" t="s">
        <v>93</v>
      </c>
      <c r="O100" s="1" t="s">
        <v>1402</v>
      </c>
      <c r="P100" s="1"/>
      <c r="Q100" s="1"/>
    </row>
    <row r="101" spans="1:17" ht="58" x14ac:dyDescent="0.35">
      <c r="A101" s="1" t="s">
        <v>2158</v>
      </c>
      <c r="B101" s="1" t="s">
        <v>1414</v>
      </c>
      <c r="C101" s="1" t="s">
        <v>96</v>
      </c>
      <c r="D101" s="1"/>
      <c r="E101" s="1"/>
      <c r="F101" s="1" t="s">
        <v>2153</v>
      </c>
      <c r="G101" s="1" t="s">
        <v>2154</v>
      </c>
      <c r="H101" s="1" t="s">
        <v>1402</v>
      </c>
      <c r="I101" s="1"/>
      <c r="J101" s="1" t="s">
        <v>1422</v>
      </c>
      <c r="K101" s="1" t="s">
        <v>1540</v>
      </c>
      <c r="L101" s="1" t="s">
        <v>2154</v>
      </c>
      <c r="M101" s="1" t="s">
        <v>93</v>
      </c>
      <c r="N101" s="1" t="s">
        <v>93</v>
      </c>
      <c r="O101" s="1" t="s">
        <v>1402</v>
      </c>
      <c r="P101" s="1"/>
      <c r="Q101" s="1"/>
    </row>
    <row r="102" spans="1:17" ht="58" x14ac:dyDescent="0.35">
      <c r="A102" s="1" t="s">
        <v>2158</v>
      </c>
      <c r="B102" s="1" t="s">
        <v>1414</v>
      </c>
      <c r="C102" s="1" t="s">
        <v>1701</v>
      </c>
      <c r="D102" s="1"/>
      <c r="E102" s="1"/>
      <c r="F102" s="1" t="s">
        <v>2153</v>
      </c>
      <c r="G102" s="1" t="s">
        <v>2154</v>
      </c>
      <c r="H102" s="1" t="s">
        <v>1402</v>
      </c>
      <c r="I102" s="1"/>
      <c r="J102" s="1" t="s">
        <v>1422</v>
      </c>
      <c r="K102" s="1" t="s">
        <v>1546</v>
      </c>
      <c r="L102" s="1" t="s">
        <v>2165</v>
      </c>
      <c r="M102" s="1" t="s">
        <v>2196</v>
      </c>
      <c r="N102" s="1" t="s">
        <v>545</v>
      </c>
      <c r="O102" s="1" t="s">
        <v>1358</v>
      </c>
      <c r="P102" s="1"/>
      <c r="Q102" s="1"/>
    </row>
    <row r="103" spans="1:17" ht="58" x14ac:dyDescent="0.35">
      <c r="A103" s="1" t="s">
        <v>2158</v>
      </c>
      <c r="B103" s="1" t="s">
        <v>1414</v>
      </c>
      <c r="C103" s="1" t="s">
        <v>1703</v>
      </c>
      <c r="D103" s="1" t="s">
        <v>1704</v>
      </c>
      <c r="E103" s="1" t="s">
        <v>1705</v>
      </c>
      <c r="F103" s="1" t="s">
        <v>97</v>
      </c>
      <c r="G103" s="1"/>
      <c r="H103" s="1" t="s">
        <v>1358</v>
      </c>
      <c r="I103" s="1"/>
      <c r="J103" s="1" t="s">
        <v>1422</v>
      </c>
      <c r="K103" s="1" t="s">
        <v>1567</v>
      </c>
      <c r="L103" s="1" t="s">
        <v>2165</v>
      </c>
      <c r="M103" s="1" t="s">
        <v>2197</v>
      </c>
      <c r="N103" s="1" t="s">
        <v>546</v>
      </c>
      <c r="O103" s="1" t="s">
        <v>1358</v>
      </c>
      <c r="P103" s="1"/>
      <c r="Q103" s="1"/>
    </row>
    <row r="104" spans="1:17" ht="58" x14ac:dyDescent="0.35">
      <c r="A104" s="1" t="s">
        <v>2158</v>
      </c>
      <c r="B104" s="1" t="s">
        <v>1414</v>
      </c>
      <c r="C104" s="1" t="s">
        <v>1703</v>
      </c>
      <c r="D104" s="1" t="s">
        <v>1702</v>
      </c>
      <c r="E104" s="1" t="s">
        <v>1703</v>
      </c>
      <c r="F104" s="1" t="s">
        <v>97</v>
      </c>
      <c r="G104" s="1"/>
      <c r="H104" s="1" t="s">
        <v>1358</v>
      </c>
      <c r="I104" s="1"/>
      <c r="J104" s="1" t="s">
        <v>1422</v>
      </c>
      <c r="K104" s="1" t="s">
        <v>1580</v>
      </c>
      <c r="L104" s="1" t="s">
        <v>2165</v>
      </c>
      <c r="M104" s="1" t="s">
        <v>2198</v>
      </c>
      <c r="N104" s="1" t="s">
        <v>93</v>
      </c>
      <c r="O104" s="1" t="s">
        <v>1402</v>
      </c>
      <c r="P104" s="1"/>
      <c r="Q104" s="1"/>
    </row>
    <row r="105" spans="1:17" ht="58" x14ac:dyDescent="0.35">
      <c r="A105" s="1" t="s">
        <v>2158</v>
      </c>
      <c r="B105" s="1" t="s">
        <v>1414</v>
      </c>
      <c r="C105" s="1" t="s">
        <v>1703</v>
      </c>
      <c r="D105" s="1"/>
      <c r="E105" s="1"/>
      <c r="F105" s="1" t="s">
        <v>390</v>
      </c>
      <c r="G105" s="1" t="s">
        <v>530</v>
      </c>
      <c r="H105" s="1" t="s">
        <v>1358</v>
      </c>
      <c r="I105" s="1"/>
      <c r="J105" s="1" t="s">
        <v>1422</v>
      </c>
      <c r="K105" s="1" t="s">
        <v>1597</v>
      </c>
      <c r="L105" s="1" t="s">
        <v>2165</v>
      </c>
      <c r="M105" s="1" t="s">
        <v>2199</v>
      </c>
      <c r="N105" s="1" t="s">
        <v>93</v>
      </c>
      <c r="O105" s="1" t="s">
        <v>1402</v>
      </c>
      <c r="P105" s="1"/>
      <c r="Q105" s="1"/>
    </row>
    <row r="106" spans="1:17" ht="58" x14ac:dyDescent="0.35">
      <c r="A106" s="1" t="s">
        <v>1418</v>
      </c>
      <c r="B106" s="1" t="s">
        <v>1414</v>
      </c>
      <c r="C106" s="1" t="s">
        <v>84</v>
      </c>
      <c r="D106" s="1" t="s">
        <v>1485</v>
      </c>
      <c r="E106" s="1" t="s">
        <v>202</v>
      </c>
      <c r="F106" s="1" t="s">
        <v>97</v>
      </c>
      <c r="G106" s="1"/>
      <c r="H106" s="1" t="s">
        <v>1358</v>
      </c>
      <c r="I106" s="1"/>
      <c r="J106" s="1" t="s">
        <v>1422</v>
      </c>
      <c r="K106" s="1" t="s">
        <v>1612</v>
      </c>
      <c r="L106" s="1" t="s">
        <v>2165</v>
      </c>
      <c r="M106" s="1" t="s">
        <v>2200</v>
      </c>
      <c r="N106" s="1" t="s">
        <v>549</v>
      </c>
      <c r="O106" s="1" t="s">
        <v>1358</v>
      </c>
      <c r="P106" s="1"/>
      <c r="Q106" s="1"/>
    </row>
    <row r="107" spans="1:17" ht="58" x14ac:dyDescent="0.35">
      <c r="A107" s="1" t="s">
        <v>1418</v>
      </c>
      <c r="B107" s="1" t="s">
        <v>1414</v>
      </c>
      <c r="C107" s="1" t="s">
        <v>84</v>
      </c>
      <c r="D107" s="1"/>
      <c r="E107" s="1"/>
      <c r="F107" s="1" t="s">
        <v>390</v>
      </c>
      <c r="G107" s="1" t="s">
        <v>536</v>
      </c>
      <c r="H107" s="1" t="s">
        <v>1358</v>
      </c>
      <c r="I107" s="1"/>
      <c r="J107" s="1" t="s">
        <v>1422</v>
      </c>
      <c r="K107" s="1" t="s">
        <v>1625</v>
      </c>
      <c r="L107" s="1" t="s">
        <v>2165</v>
      </c>
      <c r="M107" s="1" t="s">
        <v>2201</v>
      </c>
      <c r="N107" s="1" t="s">
        <v>93</v>
      </c>
      <c r="O107" s="1" t="s">
        <v>1402</v>
      </c>
      <c r="P107" s="1"/>
      <c r="Q107" s="1"/>
    </row>
    <row r="108" spans="1:17" ht="58" x14ac:dyDescent="0.35">
      <c r="A108" s="1" t="s">
        <v>1418</v>
      </c>
      <c r="B108" s="1" t="s">
        <v>1414</v>
      </c>
      <c r="C108" s="1" t="s">
        <v>87</v>
      </c>
      <c r="D108" s="1" t="s">
        <v>1489</v>
      </c>
      <c r="E108" s="1" t="s">
        <v>1490</v>
      </c>
      <c r="F108" s="1" t="s">
        <v>97</v>
      </c>
      <c r="G108" s="1"/>
      <c r="H108" s="1" t="s">
        <v>1358</v>
      </c>
      <c r="I108" s="1"/>
      <c r="J108" s="1" t="s">
        <v>1422</v>
      </c>
      <c r="K108" s="1" t="s">
        <v>1650</v>
      </c>
      <c r="L108" s="1" t="s">
        <v>2165</v>
      </c>
      <c r="M108" s="1" t="s">
        <v>2183</v>
      </c>
      <c r="N108" s="1" t="s">
        <v>93</v>
      </c>
      <c r="O108" s="1" t="s">
        <v>1402</v>
      </c>
      <c r="P108" s="1"/>
      <c r="Q108" s="1"/>
    </row>
    <row r="109" spans="1:17" ht="58" x14ac:dyDescent="0.35">
      <c r="A109" s="1" t="s">
        <v>1418</v>
      </c>
      <c r="B109" s="1" t="s">
        <v>1414</v>
      </c>
      <c r="C109" s="1" t="s">
        <v>87</v>
      </c>
      <c r="D109" s="1"/>
      <c r="E109" s="1"/>
      <c r="F109" s="1" t="s">
        <v>2155</v>
      </c>
      <c r="G109" s="1" t="s">
        <v>537</v>
      </c>
      <c r="H109" s="1" t="s">
        <v>1358</v>
      </c>
      <c r="I109" s="1"/>
      <c r="J109" s="1" t="s">
        <v>1422</v>
      </c>
      <c r="K109" s="1" t="s">
        <v>1671</v>
      </c>
      <c r="L109" s="1" t="s">
        <v>2154</v>
      </c>
      <c r="M109" s="1" t="s">
        <v>93</v>
      </c>
      <c r="N109" s="1" t="s">
        <v>93</v>
      </c>
      <c r="O109" s="1" t="s">
        <v>1402</v>
      </c>
      <c r="P109" s="1"/>
      <c r="Q109" s="1"/>
    </row>
    <row r="110" spans="1:17" ht="58" x14ac:dyDescent="0.35">
      <c r="A110" s="1" t="s">
        <v>1418</v>
      </c>
      <c r="B110" s="1" t="s">
        <v>1414</v>
      </c>
      <c r="C110" s="1" t="s">
        <v>86</v>
      </c>
      <c r="D110" s="1"/>
      <c r="E110" s="1"/>
      <c r="F110" s="1" t="s">
        <v>2157</v>
      </c>
      <c r="G110" s="1" t="s">
        <v>663</v>
      </c>
      <c r="H110" s="1" t="s">
        <v>1358</v>
      </c>
      <c r="I110" s="1"/>
      <c r="J110" s="1" t="s">
        <v>1422</v>
      </c>
      <c r="K110" s="1" t="s">
        <v>1676</v>
      </c>
      <c r="L110" s="1" t="s">
        <v>2154</v>
      </c>
      <c r="M110" s="1" t="s">
        <v>93</v>
      </c>
      <c r="N110" s="1" t="s">
        <v>93</v>
      </c>
      <c r="O110" s="1" t="s">
        <v>1402</v>
      </c>
      <c r="P110" s="1"/>
      <c r="Q110" s="1"/>
    </row>
    <row r="111" spans="1:17" ht="58" x14ac:dyDescent="0.35">
      <c r="A111" s="1" t="s">
        <v>1418</v>
      </c>
      <c r="B111" s="1" t="s">
        <v>1414</v>
      </c>
      <c r="C111" s="1" t="s">
        <v>1515</v>
      </c>
      <c r="D111" s="1" t="s">
        <v>1520</v>
      </c>
      <c r="E111" s="1" t="s">
        <v>1521</v>
      </c>
      <c r="F111" s="1" t="s">
        <v>97</v>
      </c>
      <c r="G111" s="1"/>
      <c r="H111" s="1" t="s">
        <v>1358</v>
      </c>
      <c r="I111" s="1"/>
      <c r="J111" s="1" t="s">
        <v>1422</v>
      </c>
      <c r="K111" s="1" t="s">
        <v>1681</v>
      </c>
      <c r="L111" s="1" t="s">
        <v>2154</v>
      </c>
      <c r="M111" s="1" t="s">
        <v>93</v>
      </c>
      <c r="N111" s="1" t="s">
        <v>93</v>
      </c>
      <c r="O111" s="1" t="s">
        <v>1402</v>
      </c>
      <c r="P111" s="1"/>
      <c r="Q111" s="1"/>
    </row>
    <row r="112" spans="1:17" ht="58" x14ac:dyDescent="0.35">
      <c r="A112" s="1" t="s">
        <v>1418</v>
      </c>
      <c r="B112" s="1" t="s">
        <v>1414</v>
      </c>
      <c r="C112" s="1" t="s">
        <v>1515</v>
      </c>
      <c r="D112" s="1" t="s">
        <v>1516</v>
      </c>
      <c r="E112" s="1" t="s">
        <v>1517</v>
      </c>
      <c r="F112" s="1" t="s">
        <v>97</v>
      </c>
      <c r="G112" s="1"/>
      <c r="H112" s="1" t="s">
        <v>1358</v>
      </c>
      <c r="I112" s="1"/>
      <c r="J112" s="1" t="s">
        <v>1422</v>
      </c>
      <c r="K112" s="1" t="s">
        <v>95</v>
      </c>
      <c r="L112" s="1" t="s">
        <v>2154</v>
      </c>
      <c r="M112" s="1" t="s">
        <v>93</v>
      </c>
      <c r="N112" s="1" t="s">
        <v>93</v>
      </c>
      <c r="O112" s="1" t="s">
        <v>1402</v>
      </c>
      <c r="P112" s="1"/>
      <c r="Q112" s="1"/>
    </row>
    <row r="113" spans="1:17" ht="58" x14ac:dyDescent="0.35">
      <c r="A113" s="1" t="s">
        <v>1418</v>
      </c>
      <c r="B113" s="1" t="s">
        <v>1414</v>
      </c>
      <c r="C113" s="1" t="s">
        <v>1515</v>
      </c>
      <c r="D113" s="1"/>
      <c r="E113" s="1"/>
      <c r="F113" s="1" t="s">
        <v>390</v>
      </c>
      <c r="G113" s="1" t="s">
        <v>524</v>
      </c>
      <c r="H113" s="1" t="s">
        <v>1358</v>
      </c>
      <c r="I113" s="1"/>
      <c r="J113" s="1" t="s">
        <v>1422</v>
      </c>
      <c r="K113" s="1" t="s">
        <v>96</v>
      </c>
      <c r="L113" s="1" t="s">
        <v>2165</v>
      </c>
      <c r="M113" s="1" t="s">
        <v>2202</v>
      </c>
      <c r="N113" s="1" t="s">
        <v>552</v>
      </c>
      <c r="O113" s="1" t="s">
        <v>1358</v>
      </c>
      <c r="P113" s="1"/>
      <c r="Q113" s="1"/>
    </row>
    <row r="114" spans="1:17" ht="58" x14ac:dyDescent="0.35">
      <c r="A114" s="1" t="s">
        <v>1418</v>
      </c>
      <c r="B114" s="1" t="s">
        <v>1414</v>
      </c>
      <c r="C114" s="1" t="s">
        <v>1540</v>
      </c>
      <c r="D114" s="1"/>
      <c r="E114" s="1"/>
      <c r="F114" s="1" t="s">
        <v>2153</v>
      </c>
      <c r="G114" s="1" t="s">
        <v>2154</v>
      </c>
      <c r="H114" s="1" t="s">
        <v>1402</v>
      </c>
      <c r="I114" s="1"/>
      <c r="J114" s="1" t="s">
        <v>1422</v>
      </c>
      <c r="K114" s="1" t="s">
        <v>1701</v>
      </c>
      <c r="L114" s="1" t="s">
        <v>2165</v>
      </c>
      <c r="M114" s="1" t="s">
        <v>2203</v>
      </c>
      <c r="N114" s="1" t="s">
        <v>553</v>
      </c>
      <c r="O114" s="1" t="s">
        <v>1358</v>
      </c>
      <c r="P114" s="1"/>
      <c r="Q114" s="1"/>
    </row>
    <row r="115" spans="1:17" ht="58" x14ac:dyDescent="0.35">
      <c r="A115" s="1" t="s">
        <v>1418</v>
      </c>
      <c r="B115" s="1" t="s">
        <v>1414</v>
      </c>
      <c r="C115" s="1" t="s">
        <v>1546</v>
      </c>
      <c r="D115" s="1" t="s">
        <v>1547</v>
      </c>
      <c r="E115" s="1" t="s">
        <v>1548</v>
      </c>
      <c r="F115" s="1" t="s">
        <v>97</v>
      </c>
      <c r="G115" s="1"/>
      <c r="H115" s="1" t="s">
        <v>1402</v>
      </c>
      <c r="I115" s="1"/>
      <c r="J115" s="1" t="s">
        <v>1422</v>
      </c>
      <c r="K115" s="1" t="s">
        <v>1703</v>
      </c>
      <c r="L115" s="1" t="s">
        <v>2165</v>
      </c>
      <c r="M115" s="1" t="s">
        <v>2184</v>
      </c>
      <c r="N115" s="1" t="s">
        <v>554</v>
      </c>
      <c r="O115" s="1" t="s">
        <v>1358</v>
      </c>
      <c r="P115" s="1"/>
      <c r="Q115" s="1"/>
    </row>
    <row r="116" spans="1:17" ht="58" x14ac:dyDescent="0.35">
      <c r="A116" s="1" t="s">
        <v>1418</v>
      </c>
      <c r="B116" s="1" t="s">
        <v>1414</v>
      </c>
      <c r="C116" s="1" t="s">
        <v>1567</v>
      </c>
      <c r="D116" s="1"/>
      <c r="E116" s="1"/>
      <c r="F116" s="1" t="s">
        <v>390</v>
      </c>
      <c r="G116" s="1" t="s">
        <v>526</v>
      </c>
      <c r="H116" s="1" t="s">
        <v>1358</v>
      </c>
      <c r="I116" s="1"/>
      <c r="J116" s="1" t="s">
        <v>2159</v>
      </c>
      <c r="K116" s="1" t="s">
        <v>84</v>
      </c>
      <c r="L116" s="1" t="s">
        <v>2165</v>
      </c>
      <c r="M116" s="1" t="s">
        <v>2204</v>
      </c>
      <c r="N116" s="1" t="s">
        <v>93</v>
      </c>
      <c r="O116" s="1" t="s">
        <v>1402</v>
      </c>
      <c r="P116" s="1"/>
      <c r="Q116" s="1"/>
    </row>
    <row r="117" spans="1:17" ht="58" x14ac:dyDescent="0.35">
      <c r="A117" s="1" t="s">
        <v>1418</v>
      </c>
      <c r="B117" s="1" t="s">
        <v>1414</v>
      </c>
      <c r="C117" s="1" t="s">
        <v>1580</v>
      </c>
      <c r="D117" s="1"/>
      <c r="E117" s="1"/>
      <c r="F117" s="1" t="s">
        <v>2153</v>
      </c>
      <c r="G117" s="1" t="s">
        <v>2154</v>
      </c>
      <c r="H117" s="1" t="s">
        <v>1402</v>
      </c>
      <c r="I117" s="1"/>
      <c r="J117" s="1" t="s">
        <v>2159</v>
      </c>
      <c r="K117" s="1" t="s">
        <v>87</v>
      </c>
      <c r="L117" s="1" t="s">
        <v>2165</v>
      </c>
      <c r="M117" s="1" t="s">
        <v>2205</v>
      </c>
      <c r="N117" s="1" t="s">
        <v>589</v>
      </c>
      <c r="O117" s="1" t="s">
        <v>1358</v>
      </c>
      <c r="P117" s="1"/>
      <c r="Q117" s="1"/>
    </row>
    <row r="118" spans="1:17" ht="58" x14ac:dyDescent="0.35">
      <c r="A118" s="1" t="s">
        <v>1418</v>
      </c>
      <c r="B118" s="1" t="s">
        <v>1414</v>
      </c>
      <c r="C118" s="1" t="s">
        <v>1597</v>
      </c>
      <c r="D118" s="1"/>
      <c r="E118" s="1"/>
      <c r="F118" s="1" t="s">
        <v>2153</v>
      </c>
      <c r="G118" s="1" t="s">
        <v>2154</v>
      </c>
      <c r="H118" s="1" t="s">
        <v>1402</v>
      </c>
      <c r="I118" s="1"/>
      <c r="J118" s="1" t="s">
        <v>2159</v>
      </c>
      <c r="K118" s="1" t="s">
        <v>86</v>
      </c>
      <c r="L118" s="1" t="s">
        <v>2165</v>
      </c>
      <c r="M118" s="1" t="s">
        <v>2168</v>
      </c>
      <c r="N118" s="1" t="s">
        <v>665</v>
      </c>
      <c r="O118" s="1" t="s">
        <v>1358</v>
      </c>
      <c r="P118" s="1"/>
      <c r="Q118" s="1"/>
    </row>
    <row r="119" spans="1:17" ht="58" x14ac:dyDescent="0.35">
      <c r="A119" s="1" t="s">
        <v>1418</v>
      </c>
      <c r="B119" s="1" t="s">
        <v>1414</v>
      </c>
      <c r="C119" s="1" t="s">
        <v>1612</v>
      </c>
      <c r="D119" s="1"/>
      <c r="E119" s="1"/>
      <c r="F119" s="1" t="s">
        <v>2153</v>
      </c>
      <c r="G119" s="1" t="s">
        <v>2154</v>
      </c>
      <c r="H119" s="1" t="s">
        <v>1402</v>
      </c>
      <c r="I119" s="1"/>
      <c r="J119" s="1" t="s">
        <v>2159</v>
      </c>
      <c r="K119" s="1" t="s">
        <v>1515</v>
      </c>
      <c r="L119" s="1" t="s">
        <v>2165</v>
      </c>
      <c r="M119" s="1" t="s">
        <v>2206</v>
      </c>
      <c r="N119" s="1" t="s">
        <v>590</v>
      </c>
      <c r="O119" s="1" t="s">
        <v>1358</v>
      </c>
      <c r="P119" s="1"/>
      <c r="Q119" s="1"/>
    </row>
    <row r="120" spans="1:17" ht="58" x14ac:dyDescent="0.35">
      <c r="A120" s="1" t="s">
        <v>1418</v>
      </c>
      <c r="B120" s="1" t="s">
        <v>1414</v>
      </c>
      <c r="C120" s="1" t="s">
        <v>1625</v>
      </c>
      <c r="D120" s="1"/>
      <c r="E120" s="1"/>
      <c r="F120" s="1" t="s">
        <v>2157</v>
      </c>
      <c r="G120" s="1" t="s">
        <v>527</v>
      </c>
      <c r="H120" s="1" t="s">
        <v>1358</v>
      </c>
      <c r="I120" s="1"/>
      <c r="J120" s="1" t="s">
        <v>2159</v>
      </c>
      <c r="K120" s="1" t="s">
        <v>1540</v>
      </c>
      <c r="L120" s="1" t="s">
        <v>2154</v>
      </c>
      <c r="M120" s="1" t="s">
        <v>93</v>
      </c>
      <c r="N120" s="1" t="s">
        <v>93</v>
      </c>
      <c r="O120" s="1" t="s">
        <v>1402</v>
      </c>
      <c r="P120" s="1"/>
      <c r="Q120" s="1"/>
    </row>
    <row r="121" spans="1:17" ht="58" x14ac:dyDescent="0.35">
      <c r="A121" s="1" t="s">
        <v>1418</v>
      </c>
      <c r="B121" s="1" t="s">
        <v>1414</v>
      </c>
      <c r="C121" s="1" t="s">
        <v>1650</v>
      </c>
      <c r="D121" s="1" t="s">
        <v>1657</v>
      </c>
      <c r="E121" s="1" t="s">
        <v>1658</v>
      </c>
      <c r="F121" s="1" t="s">
        <v>97</v>
      </c>
      <c r="G121" s="1"/>
      <c r="H121" s="1" t="s">
        <v>1402</v>
      </c>
      <c r="I121" s="1"/>
      <c r="J121" s="1" t="s">
        <v>2159</v>
      </c>
      <c r="K121" s="1" t="s">
        <v>1546</v>
      </c>
      <c r="L121" s="1" t="s">
        <v>2154</v>
      </c>
      <c r="M121" s="1" t="s">
        <v>93</v>
      </c>
      <c r="N121" s="1" t="s">
        <v>93</v>
      </c>
      <c r="O121" s="1" t="s">
        <v>1402</v>
      </c>
      <c r="P121" s="1"/>
      <c r="Q121" s="1"/>
    </row>
    <row r="122" spans="1:17" ht="58" x14ac:dyDescent="0.35">
      <c r="A122" s="1" t="s">
        <v>1418</v>
      </c>
      <c r="B122" s="1" t="s">
        <v>1414</v>
      </c>
      <c r="C122" s="1" t="s">
        <v>1671</v>
      </c>
      <c r="D122" s="1" t="s">
        <v>1672</v>
      </c>
      <c r="E122" s="1" t="s">
        <v>1673</v>
      </c>
      <c r="F122" s="1" t="s">
        <v>97</v>
      </c>
      <c r="G122" s="1"/>
      <c r="H122" s="1" t="s">
        <v>1402</v>
      </c>
      <c r="I122" s="1"/>
      <c r="J122" s="1" t="s">
        <v>2159</v>
      </c>
      <c r="K122" s="1" t="s">
        <v>1567</v>
      </c>
      <c r="L122" s="1" t="s">
        <v>2154</v>
      </c>
      <c r="M122" s="1" t="s">
        <v>93</v>
      </c>
      <c r="N122" s="1" t="s">
        <v>93</v>
      </c>
      <c r="O122" s="1" t="s">
        <v>1402</v>
      </c>
      <c r="P122" s="1"/>
      <c r="Q122" s="1"/>
    </row>
    <row r="123" spans="1:17" ht="58" x14ac:dyDescent="0.35">
      <c r="A123" s="1" t="s">
        <v>1418</v>
      </c>
      <c r="B123" s="1" t="s">
        <v>1414</v>
      </c>
      <c r="C123" s="1" t="s">
        <v>1676</v>
      </c>
      <c r="D123" s="1" t="s">
        <v>1677</v>
      </c>
      <c r="E123" s="1" t="s">
        <v>1678</v>
      </c>
      <c r="F123" s="1" t="s">
        <v>97</v>
      </c>
      <c r="G123" s="1"/>
      <c r="H123" s="1" t="s">
        <v>1402</v>
      </c>
      <c r="I123" s="1"/>
      <c r="J123" s="1" t="s">
        <v>2159</v>
      </c>
      <c r="K123" s="1" t="s">
        <v>1580</v>
      </c>
      <c r="L123" s="1" t="s">
        <v>2154</v>
      </c>
      <c r="M123" s="1" t="s">
        <v>93</v>
      </c>
      <c r="N123" s="1" t="s">
        <v>93</v>
      </c>
      <c r="O123" s="1" t="s">
        <v>1402</v>
      </c>
      <c r="P123" s="1"/>
      <c r="Q123" s="1"/>
    </row>
    <row r="124" spans="1:17" ht="58" x14ac:dyDescent="0.35">
      <c r="A124" s="1" t="s">
        <v>1418</v>
      </c>
      <c r="B124" s="1" t="s">
        <v>1414</v>
      </c>
      <c r="C124" s="1" t="s">
        <v>1681</v>
      </c>
      <c r="D124" s="1" t="s">
        <v>1682</v>
      </c>
      <c r="E124" s="1" t="s">
        <v>1683</v>
      </c>
      <c r="F124" s="1" t="s">
        <v>97</v>
      </c>
      <c r="G124" s="1"/>
      <c r="H124" s="1" t="s">
        <v>1402</v>
      </c>
      <c r="I124" s="1"/>
      <c r="J124" s="1" t="s">
        <v>2159</v>
      </c>
      <c r="K124" s="1" t="s">
        <v>1597</v>
      </c>
      <c r="L124" s="1" t="s">
        <v>2154</v>
      </c>
      <c r="M124" s="1" t="s">
        <v>93</v>
      </c>
      <c r="N124" s="1" t="s">
        <v>93</v>
      </c>
      <c r="O124" s="1" t="s">
        <v>1402</v>
      </c>
      <c r="P124" s="1"/>
      <c r="Q124" s="1"/>
    </row>
    <row r="125" spans="1:17" ht="58" x14ac:dyDescent="0.35">
      <c r="A125" s="1" t="s">
        <v>1418</v>
      </c>
      <c r="B125" s="1" t="s">
        <v>1414</v>
      </c>
      <c r="C125" s="1" t="s">
        <v>95</v>
      </c>
      <c r="D125" s="1"/>
      <c r="E125" s="1"/>
      <c r="F125" s="1" t="s">
        <v>390</v>
      </c>
      <c r="G125" s="1" t="s">
        <v>541</v>
      </c>
      <c r="H125" s="1" t="s">
        <v>1358</v>
      </c>
      <c r="I125" s="1"/>
      <c r="J125" s="1" t="s">
        <v>2159</v>
      </c>
      <c r="K125" s="1" t="s">
        <v>1612</v>
      </c>
      <c r="L125" s="1" t="s">
        <v>2154</v>
      </c>
      <c r="M125" s="1" t="s">
        <v>93</v>
      </c>
      <c r="N125" s="1" t="s">
        <v>93</v>
      </c>
      <c r="O125" s="1" t="s">
        <v>1402</v>
      </c>
      <c r="P125" s="1"/>
      <c r="Q125" s="1"/>
    </row>
    <row r="126" spans="1:17" ht="58" x14ac:dyDescent="0.35">
      <c r="A126" s="1" t="s">
        <v>1418</v>
      </c>
      <c r="B126" s="1" t="s">
        <v>1414</v>
      </c>
      <c r="C126" s="1" t="s">
        <v>96</v>
      </c>
      <c r="D126" s="1"/>
      <c r="E126" s="1"/>
      <c r="F126" s="1" t="s">
        <v>2153</v>
      </c>
      <c r="G126" s="1" t="s">
        <v>2154</v>
      </c>
      <c r="H126" s="1" t="s">
        <v>1402</v>
      </c>
      <c r="I126" s="1"/>
      <c r="J126" s="1" t="s">
        <v>2159</v>
      </c>
      <c r="K126" s="1" t="s">
        <v>1625</v>
      </c>
      <c r="L126" s="1" t="s">
        <v>2165</v>
      </c>
      <c r="M126" s="1" t="s">
        <v>2207</v>
      </c>
      <c r="N126" s="1" t="s">
        <v>591</v>
      </c>
      <c r="O126" s="1" t="s">
        <v>1358</v>
      </c>
      <c r="P126" s="1"/>
      <c r="Q126" s="1"/>
    </row>
    <row r="127" spans="1:17" ht="58" x14ac:dyDescent="0.35">
      <c r="A127" s="1" t="s">
        <v>1418</v>
      </c>
      <c r="B127" s="1" t="s">
        <v>1414</v>
      </c>
      <c r="C127" s="1" t="s">
        <v>1701</v>
      </c>
      <c r="D127" s="1"/>
      <c r="E127" s="1"/>
      <c r="F127" s="1" t="s">
        <v>2153</v>
      </c>
      <c r="G127" s="1" t="s">
        <v>2154</v>
      </c>
      <c r="H127" s="1" t="s">
        <v>1402</v>
      </c>
      <c r="I127" s="1"/>
      <c r="J127" s="1" t="s">
        <v>2159</v>
      </c>
      <c r="K127" s="1" t="s">
        <v>1650</v>
      </c>
      <c r="L127" s="1" t="s">
        <v>2165</v>
      </c>
      <c r="M127" s="1" t="s">
        <v>2208</v>
      </c>
      <c r="N127" s="1" t="s">
        <v>93</v>
      </c>
      <c r="O127" s="1" t="s">
        <v>1402</v>
      </c>
      <c r="P127" s="1"/>
      <c r="Q127" s="1"/>
    </row>
    <row r="128" spans="1:17" ht="58" x14ac:dyDescent="0.35">
      <c r="A128" s="1" t="s">
        <v>1418</v>
      </c>
      <c r="B128" s="1" t="s">
        <v>1414</v>
      </c>
      <c r="C128" s="1" t="s">
        <v>1703</v>
      </c>
      <c r="D128" s="1"/>
      <c r="E128" s="1"/>
      <c r="F128" s="1" t="s">
        <v>2153</v>
      </c>
      <c r="G128" s="1" t="s">
        <v>2154</v>
      </c>
      <c r="H128" s="1" t="s">
        <v>1402</v>
      </c>
      <c r="I128" s="1"/>
      <c r="J128" s="1" t="s">
        <v>2159</v>
      </c>
      <c r="K128" s="1" t="s">
        <v>1671</v>
      </c>
      <c r="L128" s="1" t="s">
        <v>2165</v>
      </c>
      <c r="M128" s="1" t="s">
        <v>93</v>
      </c>
      <c r="N128" s="1" t="s">
        <v>593</v>
      </c>
      <c r="O128" s="1" t="s">
        <v>1358</v>
      </c>
      <c r="P128" s="1"/>
      <c r="Q128" s="1"/>
    </row>
    <row r="129" spans="1:17" ht="43.5" x14ac:dyDescent="0.35">
      <c r="A129" s="1" t="s">
        <v>1422</v>
      </c>
      <c r="B129" s="1" t="s">
        <v>1423</v>
      </c>
      <c r="C129" s="1" t="s">
        <v>84</v>
      </c>
      <c r="D129" s="1" t="s">
        <v>1421</v>
      </c>
      <c r="E129" s="1" t="s">
        <v>28</v>
      </c>
      <c r="F129" s="1" t="s">
        <v>97</v>
      </c>
      <c r="G129" s="1"/>
      <c r="H129" s="1" t="s">
        <v>1402</v>
      </c>
      <c r="I129" s="1"/>
      <c r="J129" s="1" t="s">
        <v>2159</v>
      </c>
      <c r="K129" s="1" t="s">
        <v>1676</v>
      </c>
      <c r="L129" s="1" t="s">
        <v>2165</v>
      </c>
      <c r="M129" s="1" t="s">
        <v>93</v>
      </c>
      <c r="N129" s="1" t="s">
        <v>594</v>
      </c>
      <c r="O129" s="1" t="s">
        <v>1358</v>
      </c>
      <c r="P129" s="1"/>
      <c r="Q129" s="1"/>
    </row>
    <row r="130" spans="1:17" ht="43.5" x14ac:dyDescent="0.35">
      <c r="A130" s="1" t="s">
        <v>1422</v>
      </c>
      <c r="B130" s="1" t="s">
        <v>1423</v>
      </c>
      <c r="C130" s="1" t="s">
        <v>87</v>
      </c>
      <c r="D130" s="1"/>
      <c r="E130" s="1"/>
      <c r="F130" s="1" t="s">
        <v>2153</v>
      </c>
      <c r="G130" s="1" t="s">
        <v>2154</v>
      </c>
      <c r="H130" s="1" t="s">
        <v>1402</v>
      </c>
      <c r="I130" s="1"/>
      <c r="J130" s="1" t="s">
        <v>2159</v>
      </c>
      <c r="K130" s="1" t="s">
        <v>1681</v>
      </c>
      <c r="L130" s="1" t="s">
        <v>2154</v>
      </c>
      <c r="M130" s="1" t="s">
        <v>93</v>
      </c>
      <c r="N130" s="1" t="s">
        <v>93</v>
      </c>
      <c r="O130" s="1" t="s">
        <v>1402</v>
      </c>
      <c r="P130" s="1"/>
      <c r="Q130" s="1"/>
    </row>
    <row r="131" spans="1:17" ht="43.5" x14ac:dyDescent="0.35">
      <c r="A131" s="1" t="s">
        <v>1422</v>
      </c>
      <c r="B131" s="1" t="s">
        <v>1423</v>
      </c>
      <c r="C131" s="1" t="s">
        <v>86</v>
      </c>
      <c r="D131" s="1" t="s">
        <v>1499</v>
      </c>
      <c r="E131" s="1" t="s">
        <v>1500</v>
      </c>
      <c r="F131" s="1" t="s">
        <v>97</v>
      </c>
      <c r="G131" s="1"/>
      <c r="H131" s="1" t="s">
        <v>1358</v>
      </c>
      <c r="I131" s="1"/>
      <c r="J131" s="1" t="s">
        <v>2159</v>
      </c>
      <c r="K131" s="1" t="s">
        <v>95</v>
      </c>
      <c r="L131" s="1" t="s">
        <v>2165</v>
      </c>
      <c r="M131" s="1" t="s">
        <v>93</v>
      </c>
      <c r="N131" s="1" t="s">
        <v>595</v>
      </c>
      <c r="O131" s="1" t="s">
        <v>1358</v>
      </c>
      <c r="P131" s="1"/>
      <c r="Q131" s="1"/>
    </row>
    <row r="132" spans="1:17" ht="72.5" x14ac:dyDescent="0.35">
      <c r="A132" s="1" t="s">
        <v>1422</v>
      </c>
      <c r="B132" s="1" t="s">
        <v>1423</v>
      </c>
      <c r="C132" s="1" t="s">
        <v>86</v>
      </c>
      <c r="D132" s="1"/>
      <c r="E132" s="1"/>
      <c r="F132" s="1" t="s">
        <v>1941</v>
      </c>
      <c r="G132" s="1" t="s">
        <v>664</v>
      </c>
      <c r="H132" s="1" t="s">
        <v>1358</v>
      </c>
      <c r="I132" s="1"/>
      <c r="J132" s="1" t="s">
        <v>2159</v>
      </c>
      <c r="K132" s="1" t="s">
        <v>96</v>
      </c>
      <c r="L132" s="1" t="s">
        <v>2154</v>
      </c>
      <c r="M132" s="1" t="s">
        <v>93</v>
      </c>
      <c r="N132" s="1" t="s">
        <v>93</v>
      </c>
      <c r="O132" s="1" t="s">
        <v>1402</v>
      </c>
      <c r="P132" s="1"/>
      <c r="Q132" s="1"/>
    </row>
    <row r="133" spans="1:17" ht="43.5" x14ac:dyDescent="0.35">
      <c r="A133" s="1" t="s">
        <v>1422</v>
      </c>
      <c r="B133" s="1" t="s">
        <v>1423</v>
      </c>
      <c r="C133" s="1" t="s">
        <v>1515</v>
      </c>
      <c r="D133" s="1"/>
      <c r="E133" s="1"/>
      <c r="F133" s="1" t="s">
        <v>2153</v>
      </c>
      <c r="G133" s="1" t="s">
        <v>2154</v>
      </c>
      <c r="H133" s="1" t="s">
        <v>1402</v>
      </c>
      <c r="I133" s="1"/>
      <c r="J133" s="1" t="s">
        <v>2159</v>
      </c>
      <c r="K133" s="1" t="s">
        <v>1701</v>
      </c>
      <c r="L133" s="1" t="s">
        <v>2154</v>
      </c>
      <c r="M133" s="1" t="s">
        <v>93</v>
      </c>
      <c r="N133" s="1" t="s">
        <v>93</v>
      </c>
      <c r="O133" s="1" t="s">
        <v>1402</v>
      </c>
      <c r="P133" s="1"/>
      <c r="Q133" s="1"/>
    </row>
    <row r="134" spans="1:17" ht="43.5" x14ac:dyDescent="0.35">
      <c r="A134" s="1" t="s">
        <v>1422</v>
      </c>
      <c r="B134" s="1" t="s">
        <v>1423</v>
      </c>
      <c r="C134" s="1" t="s">
        <v>1540</v>
      </c>
      <c r="D134" s="1"/>
      <c r="E134" s="1"/>
      <c r="F134" s="1" t="s">
        <v>2153</v>
      </c>
      <c r="G134" s="1" t="s">
        <v>2154</v>
      </c>
      <c r="H134" s="1" t="s">
        <v>1402</v>
      </c>
      <c r="I134" s="1"/>
      <c r="J134" s="1" t="s">
        <v>2159</v>
      </c>
      <c r="K134" s="1" t="s">
        <v>1703</v>
      </c>
      <c r="L134" s="1" t="s">
        <v>2154</v>
      </c>
      <c r="M134" s="1" t="s">
        <v>93</v>
      </c>
      <c r="N134" s="1" t="s">
        <v>93</v>
      </c>
      <c r="O134" s="1" t="s">
        <v>1402</v>
      </c>
      <c r="P134" s="1"/>
      <c r="Q134" s="1"/>
    </row>
    <row r="135" spans="1:17" ht="43.5" x14ac:dyDescent="0.35">
      <c r="A135" s="1" t="s">
        <v>1422</v>
      </c>
      <c r="B135" s="1" t="s">
        <v>1423</v>
      </c>
      <c r="C135" s="1" t="s">
        <v>1546</v>
      </c>
      <c r="D135" s="1" t="s">
        <v>1551</v>
      </c>
      <c r="E135" s="1" t="s">
        <v>1552</v>
      </c>
      <c r="F135" s="1" t="s">
        <v>97</v>
      </c>
      <c r="G135" s="1"/>
      <c r="H135" s="1" t="s">
        <v>1358</v>
      </c>
      <c r="I135" s="1"/>
      <c r="J135" s="1" t="s">
        <v>1444</v>
      </c>
      <c r="K135" s="1" t="s">
        <v>84</v>
      </c>
      <c r="L135" s="1" t="s">
        <v>2165</v>
      </c>
      <c r="M135" s="1" t="s">
        <v>2209</v>
      </c>
      <c r="N135" s="1" t="s">
        <v>598</v>
      </c>
      <c r="O135" s="1" t="s">
        <v>1358</v>
      </c>
      <c r="P135" s="1"/>
      <c r="Q135" s="1"/>
    </row>
    <row r="136" spans="1:17" ht="43.5" x14ac:dyDescent="0.35">
      <c r="A136" s="1" t="s">
        <v>1422</v>
      </c>
      <c r="B136" s="1" t="s">
        <v>1423</v>
      </c>
      <c r="C136" s="1" t="s">
        <v>1546</v>
      </c>
      <c r="D136" s="1"/>
      <c r="E136" s="1"/>
      <c r="F136" s="1" t="s">
        <v>390</v>
      </c>
      <c r="G136" s="1" t="s">
        <v>545</v>
      </c>
      <c r="H136" s="1" t="s">
        <v>1358</v>
      </c>
      <c r="I136" s="1"/>
      <c r="J136" s="1" t="s">
        <v>1444</v>
      </c>
      <c r="K136" s="1" t="s">
        <v>87</v>
      </c>
      <c r="L136" s="1" t="s">
        <v>2165</v>
      </c>
      <c r="M136" s="1" t="s">
        <v>2167</v>
      </c>
      <c r="N136" s="1" t="s">
        <v>599</v>
      </c>
      <c r="O136" s="1" t="s">
        <v>1358</v>
      </c>
      <c r="P136" s="1"/>
      <c r="Q136" s="1"/>
    </row>
    <row r="137" spans="1:17" ht="43.5" x14ac:dyDescent="0.35">
      <c r="A137" s="1" t="s">
        <v>1422</v>
      </c>
      <c r="B137" s="1" t="s">
        <v>1423</v>
      </c>
      <c r="C137" s="1" t="s">
        <v>1567</v>
      </c>
      <c r="D137" s="1" t="s">
        <v>1570</v>
      </c>
      <c r="E137" s="1" t="s">
        <v>1571</v>
      </c>
      <c r="F137" s="1" t="s">
        <v>97</v>
      </c>
      <c r="G137" s="1"/>
      <c r="H137" s="1" t="s">
        <v>1358</v>
      </c>
      <c r="I137" s="1"/>
      <c r="J137" s="1" t="s">
        <v>1444</v>
      </c>
      <c r="K137" s="1" t="s">
        <v>86</v>
      </c>
      <c r="L137" s="1" t="s">
        <v>2165</v>
      </c>
      <c r="M137" s="1" t="s">
        <v>93</v>
      </c>
      <c r="N137" s="1" t="s">
        <v>666</v>
      </c>
      <c r="O137" s="1" t="s">
        <v>1358</v>
      </c>
      <c r="P137" s="1"/>
      <c r="Q137" s="1"/>
    </row>
    <row r="138" spans="1:17" ht="43.5" x14ac:dyDescent="0.35">
      <c r="A138" s="1" t="s">
        <v>1422</v>
      </c>
      <c r="B138" s="1" t="s">
        <v>1423</v>
      </c>
      <c r="C138" s="1" t="s">
        <v>1567</v>
      </c>
      <c r="D138" s="1"/>
      <c r="E138" s="1"/>
      <c r="F138" s="1" t="s">
        <v>390</v>
      </c>
      <c r="G138" s="1" t="s">
        <v>546</v>
      </c>
      <c r="H138" s="1" t="s">
        <v>1358</v>
      </c>
      <c r="I138" s="1"/>
      <c r="J138" s="1" t="s">
        <v>1444</v>
      </c>
      <c r="K138" s="1" t="s">
        <v>1515</v>
      </c>
      <c r="L138" s="1" t="s">
        <v>2165</v>
      </c>
      <c r="M138" s="1" t="s">
        <v>2210</v>
      </c>
      <c r="N138" s="1" t="s">
        <v>600</v>
      </c>
      <c r="O138" s="1" t="s">
        <v>1358</v>
      </c>
      <c r="P138" s="1"/>
      <c r="Q138" s="1"/>
    </row>
    <row r="139" spans="1:17" ht="43.5" x14ac:dyDescent="0.35">
      <c r="A139" s="1" t="s">
        <v>1422</v>
      </c>
      <c r="B139" s="1" t="s">
        <v>1423</v>
      </c>
      <c r="C139" s="1" t="s">
        <v>1580</v>
      </c>
      <c r="D139" s="1" t="s">
        <v>1583</v>
      </c>
      <c r="E139" s="1" t="s">
        <v>1584</v>
      </c>
      <c r="F139" s="1" t="s">
        <v>97</v>
      </c>
      <c r="G139" s="1"/>
      <c r="H139" s="1" t="s">
        <v>1402</v>
      </c>
      <c r="I139" s="1"/>
      <c r="J139" s="1" t="s">
        <v>1444</v>
      </c>
      <c r="K139" s="1" t="s">
        <v>1540</v>
      </c>
      <c r="L139" s="1" t="s">
        <v>2165</v>
      </c>
      <c r="M139" s="1" t="s">
        <v>93</v>
      </c>
      <c r="N139" s="1" t="s">
        <v>601</v>
      </c>
      <c r="O139" s="1" t="s">
        <v>1358</v>
      </c>
      <c r="P139" s="1"/>
      <c r="Q139" s="1"/>
    </row>
    <row r="140" spans="1:17" ht="43.5" x14ac:dyDescent="0.35">
      <c r="A140" s="1" t="s">
        <v>1422</v>
      </c>
      <c r="B140" s="1" t="s">
        <v>1423</v>
      </c>
      <c r="C140" s="1" t="s">
        <v>1597</v>
      </c>
      <c r="D140" s="1" t="s">
        <v>1600</v>
      </c>
      <c r="E140" s="1" t="s">
        <v>1601</v>
      </c>
      <c r="F140" s="1" t="s">
        <v>97</v>
      </c>
      <c r="G140" s="1"/>
      <c r="H140" s="1" t="s">
        <v>1402</v>
      </c>
      <c r="I140" s="1"/>
      <c r="J140" s="1" t="s">
        <v>1444</v>
      </c>
      <c r="K140" s="1" t="s">
        <v>1546</v>
      </c>
      <c r="L140" s="1" t="s">
        <v>2165</v>
      </c>
      <c r="M140" s="1" t="s">
        <v>2211</v>
      </c>
      <c r="N140" s="1" t="s">
        <v>93</v>
      </c>
      <c r="O140" s="1" t="s">
        <v>1402</v>
      </c>
      <c r="P140" s="1"/>
      <c r="Q140" s="1"/>
    </row>
    <row r="141" spans="1:17" ht="43.5" x14ac:dyDescent="0.35">
      <c r="A141" s="1" t="s">
        <v>1422</v>
      </c>
      <c r="B141" s="1" t="s">
        <v>1423</v>
      </c>
      <c r="C141" s="1" t="s">
        <v>1612</v>
      </c>
      <c r="D141" s="1" t="s">
        <v>1619</v>
      </c>
      <c r="E141" s="1" t="s">
        <v>1620</v>
      </c>
      <c r="F141" s="1" t="s">
        <v>97</v>
      </c>
      <c r="G141" s="1"/>
      <c r="H141" s="1" t="s">
        <v>1358</v>
      </c>
      <c r="I141" s="1"/>
      <c r="J141" s="1" t="s">
        <v>1444</v>
      </c>
      <c r="K141" s="1" t="s">
        <v>1567</v>
      </c>
      <c r="L141" s="1" t="s">
        <v>2165</v>
      </c>
      <c r="M141" s="1" t="s">
        <v>2212</v>
      </c>
      <c r="N141" s="1" t="s">
        <v>603</v>
      </c>
      <c r="O141" s="1" t="s">
        <v>1358</v>
      </c>
      <c r="P141" s="1"/>
      <c r="Q141" s="1"/>
    </row>
    <row r="142" spans="1:17" ht="43.5" x14ac:dyDescent="0.35">
      <c r="A142" s="1" t="s">
        <v>1422</v>
      </c>
      <c r="B142" s="1" t="s">
        <v>1423</v>
      </c>
      <c r="C142" s="1" t="s">
        <v>1612</v>
      </c>
      <c r="D142" s="1" t="s">
        <v>1615</v>
      </c>
      <c r="E142" s="1" t="s">
        <v>1616</v>
      </c>
      <c r="F142" s="1" t="s">
        <v>97</v>
      </c>
      <c r="G142" s="1"/>
      <c r="H142" s="1" t="s">
        <v>1358</v>
      </c>
      <c r="I142" s="1"/>
      <c r="J142" s="1" t="s">
        <v>1444</v>
      </c>
      <c r="K142" s="1" t="s">
        <v>1580</v>
      </c>
      <c r="L142" s="1" t="s">
        <v>2165</v>
      </c>
      <c r="M142" s="1" t="s">
        <v>2213</v>
      </c>
      <c r="N142" s="1" t="s">
        <v>93</v>
      </c>
      <c r="O142" s="1" t="s">
        <v>1402</v>
      </c>
      <c r="P142" s="1"/>
      <c r="Q142" s="1"/>
    </row>
    <row r="143" spans="1:17" ht="43.5" x14ac:dyDescent="0.35">
      <c r="A143" s="1" t="s">
        <v>1422</v>
      </c>
      <c r="B143" s="1" t="s">
        <v>1423</v>
      </c>
      <c r="C143" s="1" t="s">
        <v>1612</v>
      </c>
      <c r="D143" s="1"/>
      <c r="E143" s="1"/>
      <c r="F143" s="1" t="s">
        <v>390</v>
      </c>
      <c r="G143" s="1" t="s">
        <v>549</v>
      </c>
      <c r="H143" s="1" t="s">
        <v>1358</v>
      </c>
      <c r="I143" s="1"/>
      <c r="J143" s="1" t="s">
        <v>1444</v>
      </c>
      <c r="K143" s="1" t="s">
        <v>1597</v>
      </c>
      <c r="L143" s="1" t="s">
        <v>2165</v>
      </c>
      <c r="M143" s="1" t="s">
        <v>2214</v>
      </c>
      <c r="N143" s="1" t="s">
        <v>93</v>
      </c>
      <c r="O143" s="1" t="s">
        <v>1402</v>
      </c>
      <c r="P143" s="1"/>
      <c r="Q143" s="1"/>
    </row>
    <row r="144" spans="1:17" ht="43.5" x14ac:dyDescent="0.35">
      <c r="A144" s="1" t="s">
        <v>1422</v>
      </c>
      <c r="B144" s="1" t="s">
        <v>1423</v>
      </c>
      <c r="C144" s="1" t="s">
        <v>1625</v>
      </c>
      <c r="D144" s="1" t="s">
        <v>1630</v>
      </c>
      <c r="E144" s="1" t="s">
        <v>1631</v>
      </c>
      <c r="F144" s="1" t="s">
        <v>97</v>
      </c>
      <c r="G144" s="1"/>
      <c r="H144" s="1" t="s">
        <v>1402</v>
      </c>
      <c r="I144" s="1"/>
      <c r="J144" s="1" t="s">
        <v>1444</v>
      </c>
      <c r="K144" s="1" t="s">
        <v>1612</v>
      </c>
      <c r="L144" s="1" t="s">
        <v>2165</v>
      </c>
      <c r="M144" s="1" t="s">
        <v>2215</v>
      </c>
      <c r="N144" s="1" t="s">
        <v>93</v>
      </c>
      <c r="O144" s="1" t="s">
        <v>1402</v>
      </c>
      <c r="P144" s="1"/>
      <c r="Q144" s="1"/>
    </row>
    <row r="145" spans="1:17" ht="43.5" x14ac:dyDescent="0.35">
      <c r="A145" s="1" t="s">
        <v>1422</v>
      </c>
      <c r="B145" s="1" t="s">
        <v>1423</v>
      </c>
      <c r="C145" s="1" t="s">
        <v>1650</v>
      </c>
      <c r="D145" s="1" t="s">
        <v>1655</v>
      </c>
      <c r="E145" s="1" t="s">
        <v>1656</v>
      </c>
      <c r="F145" s="1" t="s">
        <v>97</v>
      </c>
      <c r="G145" s="1"/>
      <c r="H145" s="1" t="s">
        <v>1402</v>
      </c>
      <c r="I145" s="1"/>
      <c r="J145" s="1" t="s">
        <v>1444</v>
      </c>
      <c r="K145" s="1" t="s">
        <v>1625</v>
      </c>
      <c r="L145" s="1" t="s">
        <v>2165</v>
      </c>
      <c r="M145" s="1" t="s">
        <v>2216</v>
      </c>
      <c r="N145" s="1" t="s">
        <v>93</v>
      </c>
      <c r="O145" s="1" t="s">
        <v>1402</v>
      </c>
      <c r="P145" s="1"/>
      <c r="Q145" s="1"/>
    </row>
    <row r="146" spans="1:17" ht="43.5" x14ac:dyDescent="0.35">
      <c r="A146" s="1" t="s">
        <v>1422</v>
      </c>
      <c r="B146" s="1" t="s">
        <v>1423</v>
      </c>
      <c r="C146" s="1" t="s">
        <v>1671</v>
      </c>
      <c r="D146" s="1"/>
      <c r="E146" s="1"/>
      <c r="F146" s="1" t="s">
        <v>2153</v>
      </c>
      <c r="G146" s="1" t="s">
        <v>2154</v>
      </c>
      <c r="H146" s="1" t="s">
        <v>1402</v>
      </c>
      <c r="I146" s="1"/>
      <c r="J146" s="1" t="s">
        <v>1444</v>
      </c>
      <c r="K146" s="1" t="s">
        <v>1650</v>
      </c>
      <c r="L146" s="1" t="s">
        <v>2165</v>
      </c>
      <c r="M146" s="1" t="s">
        <v>2217</v>
      </c>
      <c r="N146" s="1" t="s">
        <v>93</v>
      </c>
      <c r="O146" s="1" t="s">
        <v>1402</v>
      </c>
      <c r="P146" s="1"/>
      <c r="Q146" s="1"/>
    </row>
    <row r="147" spans="1:17" ht="43.5" x14ac:dyDescent="0.35">
      <c r="A147" s="1" t="s">
        <v>1422</v>
      </c>
      <c r="B147" s="1" t="s">
        <v>1423</v>
      </c>
      <c r="C147" s="1" t="s">
        <v>1676</v>
      </c>
      <c r="D147" s="1"/>
      <c r="E147" s="1"/>
      <c r="F147" s="1" t="s">
        <v>2153</v>
      </c>
      <c r="G147" s="1" t="s">
        <v>2154</v>
      </c>
      <c r="H147" s="1" t="s">
        <v>1402</v>
      </c>
      <c r="I147" s="1"/>
      <c r="J147" s="1" t="s">
        <v>1444</v>
      </c>
      <c r="K147" s="1" t="s">
        <v>1671</v>
      </c>
      <c r="L147" s="1" t="s">
        <v>2154</v>
      </c>
      <c r="M147" s="1" t="s">
        <v>93</v>
      </c>
      <c r="N147" s="1" t="s">
        <v>93</v>
      </c>
      <c r="O147" s="1" t="s">
        <v>1402</v>
      </c>
      <c r="P147" s="1"/>
      <c r="Q147" s="1"/>
    </row>
    <row r="148" spans="1:17" ht="43.5" x14ac:dyDescent="0.35">
      <c r="A148" s="1" t="s">
        <v>1422</v>
      </c>
      <c r="B148" s="1" t="s">
        <v>1423</v>
      </c>
      <c r="C148" s="1" t="s">
        <v>1681</v>
      </c>
      <c r="D148" s="1"/>
      <c r="E148" s="1"/>
      <c r="F148" s="1" t="s">
        <v>2153</v>
      </c>
      <c r="G148" s="1" t="s">
        <v>2154</v>
      </c>
      <c r="H148" s="1" t="s">
        <v>1402</v>
      </c>
      <c r="I148" s="1"/>
      <c r="J148" s="1" t="s">
        <v>1444</v>
      </c>
      <c r="K148" s="1" t="s">
        <v>1676</v>
      </c>
      <c r="L148" s="1" t="s">
        <v>2154</v>
      </c>
      <c r="M148" s="1" t="s">
        <v>93</v>
      </c>
      <c r="N148" s="1" t="s">
        <v>93</v>
      </c>
      <c r="O148" s="1" t="s">
        <v>1402</v>
      </c>
      <c r="P148" s="1"/>
      <c r="Q148" s="1"/>
    </row>
    <row r="149" spans="1:17" ht="43.5" x14ac:dyDescent="0.35">
      <c r="A149" s="1" t="s">
        <v>1422</v>
      </c>
      <c r="B149" s="1" t="s">
        <v>1423</v>
      </c>
      <c r="C149" s="1" t="s">
        <v>95</v>
      </c>
      <c r="D149" s="1"/>
      <c r="E149" s="1"/>
      <c r="F149" s="1" t="s">
        <v>2153</v>
      </c>
      <c r="G149" s="1" t="s">
        <v>2154</v>
      </c>
      <c r="H149" s="1" t="s">
        <v>1402</v>
      </c>
      <c r="I149" s="1"/>
      <c r="J149" s="1" t="s">
        <v>1444</v>
      </c>
      <c r="K149" s="1" t="s">
        <v>1681</v>
      </c>
      <c r="L149" s="1" t="s">
        <v>2165</v>
      </c>
      <c r="M149" s="1" t="s">
        <v>2218</v>
      </c>
      <c r="N149" s="1" t="s">
        <v>93</v>
      </c>
      <c r="O149" s="1" t="s">
        <v>1402</v>
      </c>
      <c r="P149" s="1"/>
      <c r="Q149" s="1"/>
    </row>
    <row r="150" spans="1:17" ht="43.5" x14ac:dyDescent="0.35">
      <c r="A150" s="1" t="s">
        <v>1422</v>
      </c>
      <c r="B150" s="1" t="s">
        <v>1423</v>
      </c>
      <c r="C150" s="1" t="s">
        <v>96</v>
      </c>
      <c r="D150" s="1" t="s">
        <v>1697</v>
      </c>
      <c r="E150" s="1" t="s">
        <v>1698</v>
      </c>
      <c r="F150" s="1" t="s">
        <v>97</v>
      </c>
      <c r="G150" s="1"/>
      <c r="H150" s="1" t="s">
        <v>1358</v>
      </c>
      <c r="I150" s="1"/>
      <c r="J150" s="1" t="s">
        <v>1444</v>
      </c>
      <c r="K150" s="1" t="s">
        <v>95</v>
      </c>
      <c r="L150" s="1" t="s">
        <v>2165</v>
      </c>
      <c r="M150" s="1" t="s">
        <v>2219</v>
      </c>
      <c r="N150" s="1" t="s">
        <v>610</v>
      </c>
      <c r="O150" s="1" t="s">
        <v>1358</v>
      </c>
      <c r="P150" s="1"/>
      <c r="Q150" s="1"/>
    </row>
    <row r="151" spans="1:17" ht="43.5" x14ac:dyDescent="0.35">
      <c r="A151" s="1" t="s">
        <v>1422</v>
      </c>
      <c r="B151" s="1" t="s">
        <v>1423</v>
      </c>
      <c r="C151" s="1" t="s">
        <v>96</v>
      </c>
      <c r="D151" s="1"/>
      <c r="E151" s="1"/>
      <c r="F151" s="1" t="s">
        <v>2155</v>
      </c>
      <c r="G151" s="1" t="s">
        <v>552</v>
      </c>
      <c r="H151" s="1" t="s">
        <v>1358</v>
      </c>
      <c r="I151" s="1"/>
      <c r="J151" s="1" t="s">
        <v>1444</v>
      </c>
      <c r="K151" s="1" t="s">
        <v>96</v>
      </c>
      <c r="L151" s="1" t="s">
        <v>2154</v>
      </c>
      <c r="M151" s="1" t="s">
        <v>93</v>
      </c>
      <c r="N151" s="1" t="s">
        <v>93</v>
      </c>
      <c r="O151" s="1" t="s">
        <v>1402</v>
      </c>
      <c r="P151" s="1"/>
      <c r="Q151" s="1"/>
    </row>
    <row r="152" spans="1:17" ht="43.5" x14ac:dyDescent="0.35">
      <c r="A152" s="1" t="s">
        <v>1422</v>
      </c>
      <c r="B152" s="1" t="s">
        <v>1423</v>
      </c>
      <c r="C152" s="1" t="s">
        <v>1701</v>
      </c>
      <c r="D152" s="1" t="s">
        <v>1700</v>
      </c>
      <c r="E152" s="1" t="s">
        <v>1701</v>
      </c>
      <c r="F152" s="1" t="s">
        <v>97</v>
      </c>
      <c r="G152" s="1"/>
      <c r="H152" s="1" t="s">
        <v>1358</v>
      </c>
      <c r="I152" s="1"/>
      <c r="J152" s="1" t="s">
        <v>1444</v>
      </c>
      <c r="K152" s="1" t="s">
        <v>1701</v>
      </c>
      <c r="L152" s="1" t="s">
        <v>2154</v>
      </c>
      <c r="M152" s="1" t="s">
        <v>93</v>
      </c>
      <c r="N152" s="1" t="s">
        <v>93</v>
      </c>
      <c r="O152" s="1" t="s">
        <v>1402</v>
      </c>
      <c r="P152" s="1"/>
      <c r="Q152" s="1"/>
    </row>
    <row r="153" spans="1:17" ht="43.5" x14ac:dyDescent="0.35">
      <c r="A153" s="1" t="s">
        <v>1422</v>
      </c>
      <c r="B153" s="1" t="s">
        <v>1423</v>
      </c>
      <c r="C153" s="1" t="s">
        <v>1701</v>
      </c>
      <c r="D153" s="1"/>
      <c r="E153" s="1"/>
      <c r="F153" s="1" t="s">
        <v>2155</v>
      </c>
      <c r="G153" s="1" t="s">
        <v>553</v>
      </c>
      <c r="H153" s="1" t="s">
        <v>1358</v>
      </c>
      <c r="I153" s="1"/>
      <c r="J153" s="1" t="s">
        <v>1444</v>
      </c>
      <c r="K153" s="1" t="s">
        <v>1703</v>
      </c>
      <c r="L153" s="1" t="s">
        <v>2154</v>
      </c>
      <c r="M153" s="1" t="s">
        <v>93</v>
      </c>
      <c r="N153" s="1" t="s">
        <v>93</v>
      </c>
      <c r="O153" s="1" t="s">
        <v>1402</v>
      </c>
      <c r="P153" s="1"/>
      <c r="Q153" s="1"/>
    </row>
    <row r="154" spans="1:17" ht="43.5" x14ac:dyDescent="0.35">
      <c r="A154" s="1" t="s">
        <v>1422</v>
      </c>
      <c r="B154" s="1" t="s">
        <v>1423</v>
      </c>
      <c r="C154" s="1" t="s">
        <v>1703</v>
      </c>
      <c r="D154" s="1" t="s">
        <v>1702</v>
      </c>
      <c r="E154" s="1" t="s">
        <v>1703</v>
      </c>
      <c r="F154" s="1" t="s">
        <v>97</v>
      </c>
      <c r="G154" s="1"/>
      <c r="H154" s="1" t="s">
        <v>1358</v>
      </c>
      <c r="I154" s="1"/>
      <c r="J154" s="1" t="s">
        <v>1447</v>
      </c>
      <c r="K154" s="1" t="s">
        <v>84</v>
      </c>
      <c r="L154" s="1" t="s">
        <v>2165</v>
      </c>
      <c r="M154" s="1" t="s">
        <v>2220</v>
      </c>
      <c r="N154" s="1" t="s">
        <v>613</v>
      </c>
      <c r="O154" s="1" t="s">
        <v>1358</v>
      </c>
      <c r="P154" s="1"/>
      <c r="Q154" s="1"/>
    </row>
    <row r="155" spans="1:17" ht="43.5" x14ac:dyDescent="0.35">
      <c r="A155" s="1" t="s">
        <v>1422</v>
      </c>
      <c r="B155" s="1" t="s">
        <v>1423</v>
      </c>
      <c r="C155" s="1" t="s">
        <v>1703</v>
      </c>
      <c r="D155" s="1"/>
      <c r="E155" s="1"/>
      <c r="F155" s="1" t="s">
        <v>2155</v>
      </c>
      <c r="G155" s="1" t="s">
        <v>554</v>
      </c>
      <c r="H155" s="1" t="s">
        <v>1358</v>
      </c>
      <c r="I155" s="1"/>
      <c r="J155" s="1" t="s">
        <v>1447</v>
      </c>
      <c r="K155" s="1" t="s">
        <v>87</v>
      </c>
      <c r="L155" s="1" t="s">
        <v>2165</v>
      </c>
      <c r="M155" s="1" t="s">
        <v>2167</v>
      </c>
      <c r="N155" s="1" t="s">
        <v>614</v>
      </c>
      <c r="O155" s="1" t="s">
        <v>1358</v>
      </c>
      <c r="P155" s="1"/>
      <c r="Q155" s="1"/>
    </row>
    <row r="156" spans="1:17" ht="43.5" x14ac:dyDescent="0.35">
      <c r="A156" s="1" t="s">
        <v>2159</v>
      </c>
      <c r="B156" s="1" t="s">
        <v>1441</v>
      </c>
      <c r="C156" s="1" t="s">
        <v>84</v>
      </c>
      <c r="D156" s="1" t="s">
        <v>1438</v>
      </c>
      <c r="E156" s="1" t="s">
        <v>1439</v>
      </c>
      <c r="F156" s="1" t="s">
        <v>97</v>
      </c>
      <c r="G156" s="1"/>
      <c r="H156" s="1" t="s">
        <v>1402</v>
      </c>
      <c r="I156" s="1"/>
      <c r="J156" s="1" t="s">
        <v>1447</v>
      </c>
      <c r="K156" s="1" t="s">
        <v>86</v>
      </c>
      <c r="L156" s="1" t="s">
        <v>2165</v>
      </c>
      <c r="M156" s="1" t="s">
        <v>2168</v>
      </c>
      <c r="N156" s="1" t="s">
        <v>667</v>
      </c>
      <c r="O156" s="1" t="s">
        <v>1358</v>
      </c>
      <c r="P156" s="1"/>
      <c r="Q156" s="1"/>
    </row>
    <row r="157" spans="1:17" ht="43.5" x14ac:dyDescent="0.35">
      <c r="A157" s="1" t="s">
        <v>2159</v>
      </c>
      <c r="B157" s="1" t="s">
        <v>1441</v>
      </c>
      <c r="C157" s="1" t="s">
        <v>87</v>
      </c>
      <c r="D157" s="1" t="s">
        <v>1491</v>
      </c>
      <c r="E157" s="1" t="s">
        <v>1492</v>
      </c>
      <c r="F157" s="1" t="s">
        <v>97</v>
      </c>
      <c r="G157" s="1"/>
      <c r="H157" s="1" t="s">
        <v>1358</v>
      </c>
      <c r="I157" s="1"/>
      <c r="J157" s="1" t="s">
        <v>1447</v>
      </c>
      <c r="K157" s="1" t="s">
        <v>1515</v>
      </c>
      <c r="L157" s="1" t="s">
        <v>2165</v>
      </c>
      <c r="M157" s="1" t="s">
        <v>2221</v>
      </c>
      <c r="N157" s="1" t="s">
        <v>615</v>
      </c>
      <c r="O157" s="1" t="s">
        <v>1358</v>
      </c>
      <c r="P157" s="1"/>
      <c r="Q157" s="1"/>
    </row>
    <row r="158" spans="1:17" ht="43.5" x14ac:dyDescent="0.35">
      <c r="A158" s="1" t="s">
        <v>2159</v>
      </c>
      <c r="B158" s="1" t="s">
        <v>1441</v>
      </c>
      <c r="C158" s="1" t="s">
        <v>87</v>
      </c>
      <c r="D158" s="1" t="s">
        <v>1489</v>
      </c>
      <c r="E158" s="1" t="s">
        <v>1490</v>
      </c>
      <c r="F158" s="1" t="s">
        <v>97</v>
      </c>
      <c r="G158" s="1"/>
      <c r="H158" s="1" t="s">
        <v>1358</v>
      </c>
      <c r="I158" s="1"/>
      <c r="J158" s="1" t="s">
        <v>1447</v>
      </c>
      <c r="K158" s="1" t="s">
        <v>1540</v>
      </c>
      <c r="L158" s="1" t="s">
        <v>2154</v>
      </c>
      <c r="M158" s="1" t="s">
        <v>93</v>
      </c>
      <c r="N158" s="1" t="s">
        <v>93</v>
      </c>
      <c r="O158" s="1" t="s">
        <v>1402</v>
      </c>
      <c r="P158" s="1"/>
      <c r="Q158" s="1"/>
    </row>
    <row r="159" spans="1:17" ht="43.5" x14ac:dyDescent="0.35">
      <c r="A159" s="1" t="s">
        <v>2159</v>
      </c>
      <c r="B159" s="1" t="s">
        <v>1441</v>
      </c>
      <c r="C159" s="1" t="s">
        <v>87</v>
      </c>
      <c r="D159" s="1"/>
      <c r="E159" s="1"/>
      <c r="F159" s="1" t="s">
        <v>390</v>
      </c>
      <c r="G159" s="1" t="s">
        <v>589</v>
      </c>
      <c r="H159" s="1" t="s">
        <v>1358</v>
      </c>
      <c r="I159" s="1"/>
      <c r="J159" s="1" t="s">
        <v>1447</v>
      </c>
      <c r="K159" s="1" t="s">
        <v>1546</v>
      </c>
      <c r="L159" s="1" t="s">
        <v>2165</v>
      </c>
      <c r="M159" s="1" t="s">
        <v>2222</v>
      </c>
      <c r="N159" s="1" t="s">
        <v>616</v>
      </c>
      <c r="O159" s="1" t="s">
        <v>1358</v>
      </c>
      <c r="P159" s="1"/>
      <c r="Q159" s="1"/>
    </row>
    <row r="160" spans="1:17" ht="43.5" x14ac:dyDescent="0.35">
      <c r="A160" s="1" t="s">
        <v>2159</v>
      </c>
      <c r="B160" s="1" t="s">
        <v>1441</v>
      </c>
      <c r="C160" s="1" t="s">
        <v>86</v>
      </c>
      <c r="D160" s="1" t="s">
        <v>1499</v>
      </c>
      <c r="E160" s="1" t="s">
        <v>1500</v>
      </c>
      <c r="F160" s="1" t="s">
        <v>97</v>
      </c>
      <c r="G160" s="1"/>
      <c r="H160" s="1" t="s">
        <v>1358</v>
      </c>
      <c r="I160" s="1"/>
      <c r="J160" s="1" t="s">
        <v>1447</v>
      </c>
      <c r="K160" s="1" t="s">
        <v>1567</v>
      </c>
      <c r="L160" s="1" t="s">
        <v>2165</v>
      </c>
      <c r="M160" s="1" t="s">
        <v>2223</v>
      </c>
      <c r="N160" s="1" t="s">
        <v>617</v>
      </c>
      <c r="O160" s="1" t="s">
        <v>1358</v>
      </c>
      <c r="P160" s="1"/>
      <c r="Q160" s="1"/>
    </row>
    <row r="161" spans="1:17" ht="43.5" x14ac:dyDescent="0.35">
      <c r="A161" s="1" t="s">
        <v>2159</v>
      </c>
      <c r="B161" s="1" t="s">
        <v>1441</v>
      </c>
      <c r="C161" s="1" t="s">
        <v>86</v>
      </c>
      <c r="D161" s="1"/>
      <c r="E161" s="1"/>
      <c r="F161" s="1" t="s">
        <v>390</v>
      </c>
      <c r="G161" s="1" t="s">
        <v>665</v>
      </c>
      <c r="H161" s="1" t="s">
        <v>1358</v>
      </c>
      <c r="I161" s="1"/>
      <c r="J161" s="1" t="s">
        <v>1447</v>
      </c>
      <c r="K161" s="1" t="s">
        <v>1580</v>
      </c>
      <c r="L161" s="1" t="s">
        <v>2165</v>
      </c>
      <c r="M161" s="1" t="s">
        <v>2224</v>
      </c>
      <c r="N161" s="1" t="s">
        <v>618</v>
      </c>
      <c r="O161" s="1" t="s">
        <v>1358</v>
      </c>
      <c r="P161" s="1"/>
      <c r="Q161" s="1"/>
    </row>
    <row r="162" spans="1:17" ht="43.5" x14ac:dyDescent="0.35">
      <c r="A162" s="1" t="s">
        <v>2159</v>
      </c>
      <c r="B162" s="1" t="s">
        <v>1441</v>
      </c>
      <c r="C162" s="1" t="s">
        <v>1515</v>
      </c>
      <c r="D162" s="1" t="s">
        <v>1530</v>
      </c>
      <c r="E162" s="1" t="s">
        <v>1531</v>
      </c>
      <c r="F162" s="1" t="s">
        <v>97</v>
      </c>
      <c r="G162" s="1"/>
      <c r="H162" s="1" t="s">
        <v>1358</v>
      </c>
      <c r="I162" s="1"/>
      <c r="J162" s="1" t="s">
        <v>1447</v>
      </c>
      <c r="K162" s="1" t="s">
        <v>1597</v>
      </c>
      <c r="L162" s="1" t="s">
        <v>2165</v>
      </c>
      <c r="M162" s="1" t="s">
        <v>2225</v>
      </c>
      <c r="N162" s="1" t="s">
        <v>619</v>
      </c>
      <c r="O162" s="1" t="s">
        <v>1358</v>
      </c>
      <c r="P162" s="1"/>
      <c r="Q162" s="1"/>
    </row>
    <row r="163" spans="1:17" ht="43.5" x14ac:dyDescent="0.35">
      <c r="A163" s="1" t="s">
        <v>2159</v>
      </c>
      <c r="B163" s="1" t="s">
        <v>1441</v>
      </c>
      <c r="C163" s="1" t="s">
        <v>1515</v>
      </c>
      <c r="D163" s="1" t="s">
        <v>1513</v>
      </c>
      <c r="E163" s="1" t="s">
        <v>1514</v>
      </c>
      <c r="F163" s="1" t="s">
        <v>97</v>
      </c>
      <c r="G163" s="1"/>
      <c r="H163" s="1" t="s">
        <v>1358</v>
      </c>
      <c r="I163" s="1"/>
      <c r="J163" s="1" t="s">
        <v>1447</v>
      </c>
      <c r="K163" s="1" t="s">
        <v>1612</v>
      </c>
      <c r="L163" s="1" t="s">
        <v>2154</v>
      </c>
      <c r="M163" s="1" t="s">
        <v>93</v>
      </c>
      <c r="N163" s="1" t="s">
        <v>93</v>
      </c>
      <c r="O163" s="1" t="s">
        <v>1402</v>
      </c>
      <c r="P163" s="1"/>
      <c r="Q163" s="1"/>
    </row>
    <row r="164" spans="1:17" ht="43.5" x14ac:dyDescent="0.35">
      <c r="A164" s="1" t="s">
        <v>2159</v>
      </c>
      <c r="B164" s="1" t="s">
        <v>1441</v>
      </c>
      <c r="C164" s="1" t="s">
        <v>1515</v>
      </c>
      <c r="D164" s="1"/>
      <c r="E164" s="1"/>
      <c r="F164" s="1" t="s">
        <v>390</v>
      </c>
      <c r="G164" s="1" t="s">
        <v>590</v>
      </c>
      <c r="H164" s="1" t="s">
        <v>1358</v>
      </c>
      <c r="I164" s="1"/>
      <c r="J164" s="1" t="s">
        <v>1447</v>
      </c>
      <c r="K164" s="1" t="s">
        <v>1625</v>
      </c>
      <c r="L164" s="1" t="s">
        <v>2165</v>
      </c>
      <c r="M164" s="1" t="s">
        <v>2226</v>
      </c>
      <c r="N164" s="1" t="s">
        <v>93</v>
      </c>
      <c r="O164" s="1" t="s">
        <v>1402</v>
      </c>
      <c r="P164" s="1"/>
      <c r="Q164" s="1"/>
    </row>
    <row r="165" spans="1:17" ht="43.5" x14ac:dyDescent="0.35">
      <c r="A165" s="1" t="s">
        <v>2159</v>
      </c>
      <c r="B165" s="1" t="s">
        <v>1441</v>
      </c>
      <c r="C165" s="1" t="s">
        <v>1540</v>
      </c>
      <c r="D165" s="1"/>
      <c r="E165" s="1"/>
      <c r="F165" s="1" t="s">
        <v>2153</v>
      </c>
      <c r="G165" s="1" t="s">
        <v>2154</v>
      </c>
      <c r="H165" s="1" t="s">
        <v>1402</v>
      </c>
      <c r="I165" s="1"/>
      <c r="J165" s="1" t="s">
        <v>1447</v>
      </c>
      <c r="K165" s="1" t="s">
        <v>1650</v>
      </c>
      <c r="L165" s="1" t="s">
        <v>2165</v>
      </c>
      <c r="M165" s="1" t="s">
        <v>2227</v>
      </c>
      <c r="N165" s="1" t="s">
        <v>93</v>
      </c>
      <c r="O165" s="1" t="s">
        <v>1402</v>
      </c>
      <c r="P165" s="1"/>
      <c r="Q165" s="1"/>
    </row>
    <row r="166" spans="1:17" ht="43.5" x14ac:dyDescent="0.35">
      <c r="A166" s="1" t="s">
        <v>2159</v>
      </c>
      <c r="B166" s="1" t="s">
        <v>1441</v>
      </c>
      <c r="C166" s="1" t="s">
        <v>1546</v>
      </c>
      <c r="D166" s="1"/>
      <c r="E166" s="1"/>
      <c r="F166" s="1" t="s">
        <v>2153</v>
      </c>
      <c r="G166" s="1" t="s">
        <v>2154</v>
      </c>
      <c r="H166" s="1" t="s">
        <v>1402</v>
      </c>
      <c r="I166" s="1"/>
      <c r="J166" s="1" t="s">
        <v>1447</v>
      </c>
      <c r="K166" s="1" t="s">
        <v>1671</v>
      </c>
      <c r="L166" s="1" t="s">
        <v>2154</v>
      </c>
      <c r="M166" s="1" t="s">
        <v>93</v>
      </c>
      <c r="N166" s="1" t="s">
        <v>93</v>
      </c>
      <c r="O166" s="1" t="s">
        <v>1402</v>
      </c>
      <c r="P166" s="1"/>
      <c r="Q166" s="1"/>
    </row>
    <row r="167" spans="1:17" ht="43.5" x14ac:dyDescent="0.35">
      <c r="A167" s="1" t="s">
        <v>2159</v>
      </c>
      <c r="B167" s="1" t="s">
        <v>1441</v>
      </c>
      <c r="C167" s="1" t="s">
        <v>1567</v>
      </c>
      <c r="D167" s="1"/>
      <c r="E167" s="1"/>
      <c r="F167" s="1" t="s">
        <v>2153</v>
      </c>
      <c r="G167" s="1" t="s">
        <v>2154</v>
      </c>
      <c r="H167" s="1" t="s">
        <v>1402</v>
      </c>
      <c r="I167" s="1"/>
      <c r="J167" s="1" t="s">
        <v>1447</v>
      </c>
      <c r="K167" s="1" t="s">
        <v>1676</v>
      </c>
      <c r="L167" s="1" t="s">
        <v>2154</v>
      </c>
      <c r="M167" s="1" t="s">
        <v>93</v>
      </c>
      <c r="N167" s="1" t="s">
        <v>93</v>
      </c>
      <c r="O167" s="1" t="s">
        <v>1402</v>
      </c>
      <c r="P167" s="1"/>
      <c r="Q167" s="1"/>
    </row>
    <row r="168" spans="1:17" ht="43.5" x14ac:dyDescent="0.35">
      <c r="A168" s="1" t="s">
        <v>2159</v>
      </c>
      <c r="B168" s="1" t="s">
        <v>1441</v>
      </c>
      <c r="C168" s="1" t="s">
        <v>1580</v>
      </c>
      <c r="D168" s="1"/>
      <c r="E168" s="1"/>
      <c r="F168" s="1" t="s">
        <v>2153</v>
      </c>
      <c r="G168" s="1" t="s">
        <v>2154</v>
      </c>
      <c r="H168" s="1" t="s">
        <v>1402</v>
      </c>
      <c r="I168" s="1"/>
      <c r="J168" s="1" t="s">
        <v>1447</v>
      </c>
      <c r="K168" s="1" t="s">
        <v>1681</v>
      </c>
      <c r="L168" s="1" t="s">
        <v>2154</v>
      </c>
      <c r="M168" s="1" t="s">
        <v>93</v>
      </c>
      <c r="N168" s="1" t="s">
        <v>93</v>
      </c>
      <c r="O168" s="1" t="s">
        <v>1402</v>
      </c>
      <c r="P168" s="1"/>
      <c r="Q168" s="1"/>
    </row>
    <row r="169" spans="1:17" ht="43.5" x14ac:dyDescent="0.35">
      <c r="A169" s="1" t="s">
        <v>2159</v>
      </c>
      <c r="B169" s="1" t="s">
        <v>1441</v>
      </c>
      <c r="C169" s="1" t="s">
        <v>1597</v>
      </c>
      <c r="D169" s="1"/>
      <c r="E169" s="1"/>
      <c r="F169" s="1" t="s">
        <v>2153</v>
      </c>
      <c r="G169" s="1" t="s">
        <v>2154</v>
      </c>
      <c r="H169" s="1" t="s">
        <v>1402</v>
      </c>
      <c r="I169" s="1"/>
      <c r="J169" s="1" t="s">
        <v>1447</v>
      </c>
      <c r="K169" s="1" t="s">
        <v>95</v>
      </c>
      <c r="L169" s="1" t="s">
        <v>2154</v>
      </c>
      <c r="M169" s="1" t="s">
        <v>93</v>
      </c>
      <c r="N169" s="1" t="s">
        <v>93</v>
      </c>
      <c r="O169" s="1" t="s">
        <v>1402</v>
      </c>
      <c r="P169" s="1"/>
      <c r="Q169" s="1"/>
    </row>
    <row r="170" spans="1:17" ht="43.5" x14ac:dyDescent="0.35">
      <c r="A170" s="1" t="s">
        <v>2159</v>
      </c>
      <c r="B170" s="1" t="s">
        <v>1441</v>
      </c>
      <c r="C170" s="1" t="s">
        <v>1612</v>
      </c>
      <c r="D170" s="1"/>
      <c r="E170" s="1"/>
      <c r="F170" s="1" t="s">
        <v>2153</v>
      </c>
      <c r="G170" s="1" t="s">
        <v>2154</v>
      </c>
      <c r="H170" s="1" t="s">
        <v>1402</v>
      </c>
      <c r="I170" s="1"/>
      <c r="J170" s="1" t="s">
        <v>1447</v>
      </c>
      <c r="K170" s="1" t="s">
        <v>96</v>
      </c>
      <c r="L170" s="1" t="s">
        <v>2154</v>
      </c>
      <c r="M170" s="1" t="s">
        <v>93</v>
      </c>
      <c r="N170" s="1" t="s">
        <v>93</v>
      </c>
      <c r="O170" s="1" t="s">
        <v>1402</v>
      </c>
      <c r="P170" s="1"/>
      <c r="Q170" s="1"/>
    </row>
    <row r="171" spans="1:17" ht="43.5" x14ac:dyDescent="0.35">
      <c r="A171" s="1" t="s">
        <v>2159</v>
      </c>
      <c r="B171" s="1" t="s">
        <v>1441</v>
      </c>
      <c r="C171" s="1" t="s">
        <v>1625</v>
      </c>
      <c r="D171" s="1" t="s">
        <v>1638</v>
      </c>
      <c r="E171" s="1" t="s">
        <v>1639</v>
      </c>
      <c r="F171" s="1" t="s">
        <v>97</v>
      </c>
      <c r="G171" s="1"/>
      <c r="H171" s="1" t="s">
        <v>1358</v>
      </c>
      <c r="I171" s="1"/>
      <c r="J171" s="1" t="s">
        <v>1447</v>
      </c>
      <c r="K171" s="1" t="s">
        <v>1701</v>
      </c>
      <c r="L171" s="1" t="s">
        <v>2154</v>
      </c>
      <c r="M171" s="1" t="s">
        <v>93</v>
      </c>
      <c r="N171" s="1" t="s">
        <v>93</v>
      </c>
      <c r="O171" s="1" t="s">
        <v>1402</v>
      </c>
      <c r="P171" s="1"/>
      <c r="Q171" s="1"/>
    </row>
    <row r="172" spans="1:17" ht="43.5" x14ac:dyDescent="0.35">
      <c r="A172" s="1" t="s">
        <v>2159</v>
      </c>
      <c r="B172" s="1" t="s">
        <v>1441</v>
      </c>
      <c r="C172" s="1" t="s">
        <v>1625</v>
      </c>
      <c r="D172" s="1" t="s">
        <v>1623</v>
      </c>
      <c r="E172" s="1" t="s">
        <v>1624</v>
      </c>
      <c r="F172" s="1" t="s">
        <v>97</v>
      </c>
      <c r="G172" s="1"/>
      <c r="H172" s="1" t="s">
        <v>1358</v>
      </c>
      <c r="I172" s="1"/>
      <c r="J172" s="1" t="s">
        <v>1447</v>
      </c>
      <c r="K172" s="1" t="s">
        <v>1703</v>
      </c>
      <c r="L172" s="1" t="s">
        <v>2154</v>
      </c>
      <c r="M172" s="1" t="s">
        <v>93</v>
      </c>
      <c r="N172" s="1" t="s">
        <v>93</v>
      </c>
      <c r="O172" s="1" t="s">
        <v>1402</v>
      </c>
      <c r="P172" s="1"/>
      <c r="Q172" s="1"/>
    </row>
    <row r="173" spans="1:17" ht="43.5" x14ac:dyDescent="0.35">
      <c r="A173" s="1" t="s">
        <v>2159</v>
      </c>
      <c r="B173" s="1" t="s">
        <v>1441</v>
      </c>
      <c r="C173" s="1" t="s">
        <v>1625</v>
      </c>
      <c r="D173" s="1"/>
      <c r="E173" s="1"/>
      <c r="F173" s="1" t="s">
        <v>390</v>
      </c>
      <c r="G173" s="1" t="s">
        <v>591</v>
      </c>
      <c r="H173" s="1" t="s">
        <v>1358</v>
      </c>
      <c r="I173" s="1"/>
      <c r="J173" s="1" t="s">
        <v>2160</v>
      </c>
      <c r="K173" s="1" t="s">
        <v>84</v>
      </c>
      <c r="L173" s="1" t="s">
        <v>2165</v>
      </c>
      <c r="M173" s="1" t="s">
        <v>2228</v>
      </c>
      <c r="N173" s="1" t="s">
        <v>624</v>
      </c>
      <c r="O173" s="1" t="s">
        <v>1358</v>
      </c>
      <c r="P173" s="1"/>
      <c r="Q173" s="1"/>
    </row>
    <row r="174" spans="1:17" ht="43.5" x14ac:dyDescent="0.35">
      <c r="A174" s="1" t="s">
        <v>2159</v>
      </c>
      <c r="B174" s="1" t="s">
        <v>1441</v>
      </c>
      <c r="C174" s="1" t="s">
        <v>1650</v>
      </c>
      <c r="D174" s="1" t="s">
        <v>1663</v>
      </c>
      <c r="E174" s="1" t="s">
        <v>1664</v>
      </c>
      <c r="F174" s="1" t="s">
        <v>97</v>
      </c>
      <c r="G174" s="1"/>
      <c r="H174" s="1" t="s">
        <v>1402</v>
      </c>
      <c r="I174" s="1"/>
      <c r="J174" s="1" t="s">
        <v>2160</v>
      </c>
      <c r="K174" s="1" t="s">
        <v>87</v>
      </c>
      <c r="L174" s="1" t="s">
        <v>2165</v>
      </c>
      <c r="M174" s="1" t="s">
        <v>2229</v>
      </c>
      <c r="N174" s="1" t="s">
        <v>625</v>
      </c>
      <c r="O174" s="1" t="s">
        <v>1358</v>
      </c>
      <c r="P174" s="1"/>
      <c r="Q174" s="1"/>
    </row>
    <row r="175" spans="1:17" ht="43.5" x14ac:dyDescent="0.35">
      <c r="A175" s="1" t="s">
        <v>2159</v>
      </c>
      <c r="B175" s="1" t="s">
        <v>1441</v>
      </c>
      <c r="C175" s="1" t="s">
        <v>1671</v>
      </c>
      <c r="D175" s="1"/>
      <c r="E175" s="1"/>
      <c r="F175" s="1" t="s">
        <v>390</v>
      </c>
      <c r="G175" s="1" t="s">
        <v>593</v>
      </c>
      <c r="H175" s="1" t="s">
        <v>1358</v>
      </c>
      <c r="I175" s="1"/>
      <c r="J175" s="1" t="s">
        <v>2160</v>
      </c>
      <c r="K175" s="1" t="s">
        <v>86</v>
      </c>
      <c r="L175" s="1" t="s">
        <v>2165</v>
      </c>
      <c r="M175" s="1" t="s">
        <v>2168</v>
      </c>
      <c r="N175" s="1" t="s">
        <v>668</v>
      </c>
      <c r="O175" s="1" t="s">
        <v>1358</v>
      </c>
      <c r="P175" s="1"/>
      <c r="Q175" s="1"/>
    </row>
    <row r="176" spans="1:17" ht="43.5" x14ac:dyDescent="0.35">
      <c r="A176" s="1" t="s">
        <v>2159</v>
      </c>
      <c r="B176" s="1" t="s">
        <v>1441</v>
      </c>
      <c r="C176" s="1" t="s">
        <v>1676</v>
      </c>
      <c r="D176" s="1"/>
      <c r="E176" s="1"/>
      <c r="F176" s="1" t="s">
        <v>390</v>
      </c>
      <c r="G176" s="1" t="s">
        <v>594</v>
      </c>
      <c r="H176" s="1" t="s">
        <v>1358</v>
      </c>
      <c r="I176" s="1"/>
      <c r="J176" s="1" t="s">
        <v>2160</v>
      </c>
      <c r="K176" s="1" t="s">
        <v>1515</v>
      </c>
      <c r="L176" s="1" t="s">
        <v>2165</v>
      </c>
      <c r="M176" s="1" t="s">
        <v>2230</v>
      </c>
      <c r="N176" s="1" t="s">
        <v>626</v>
      </c>
      <c r="O176" s="1" t="s">
        <v>1358</v>
      </c>
      <c r="P176" s="1"/>
      <c r="Q176" s="1"/>
    </row>
    <row r="177" spans="1:17" ht="43.5" x14ac:dyDescent="0.35">
      <c r="A177" s="1" t="s">
        <v>2159</v>
      </c>
      <c r="B177" s="1" t="s">
        <v>1441</v>
      </c>
      <c r="C177" s="1" t="s">
        <v>1681</v>
      </c>
      <c r="D177" s="1"/>
      <c r="E177" s="1"/>
      <c r="F177" s="1" t="s">
        <v>2153</v>
      </c>
      <c r="G177" s="1" t="s">
        <v>2154</v>
      </c>
      <c r="H177" s="1" t="s">
        <v>1402</v>
      </c>
      <c r="I177" s="1"/>
      <c r="J177" s="1" t="s">
        <v>2160</v>
      </c>
      <c r="K177" s="1" t="s">
        <v>1540</v>
      </c>
      <c r="L177" s="1" t="s">
        <v>2154</v>
      </c>
      <c r="M177" s="1" t="s">
        <v>93</v>
      </c>
      <c r="N177" s="1" t="s">
        <v>93</v>
      </c>
      <c r="O177" s="1" t="s">
        <v>1402</v>
      </c>
      <c r="P177" s="1"/>
      <c r="Q177" s="1"/>
    </row>
    <row r="178" spans="1:17" ht="43.5" x14ac:dyDescent="0.35">
      <c r="A178" s="1" t="s">
        <v>2159</v>
      </c>
      <c r="B178" s="1" t="s">
        <v>1441</v>
      </c>
      <c r="C178" s="1" t="s">
        <v>95</v>
      </c>
      <c r="D178" s="1"/>
      <c r="E178" s="1"/>
      <c r="F178" s="1" t="s">
        <v>390</v>
      </c>
      <c r="G178" s="1" t="s">
        <v>595</v>
      </c>
      <c r="H178" s="1" t="s">
        <v>1358</v>
      </c>
      <c r="I178" s="1"/>
      <c r="J178" s="1" t="s">
        <v>2160</v>
      </c>
      <c r="K178" s="1" t="s">
        <v>1546</v>
      </c>
      <c r="L178" s="1" t="s">
        <v>2165</v>
      </c>
      <c r="M178" s="1" t="s">
        <v>2231</v>
      </c>
      <c r="N178" s="1" t="s">
        <v>627</v>
      </c>
      <c r="O178" s="1" t="s">
        <v>1358</v>
      </c>
      <c r="P178" s="1"/>
      <c r="Q178" s="1"/>
    </row>
    <row r="179" spans="1:17" ht="43.5" x14ac:dyDescent="0.35">
      <c r="A179" s="1" t="s">
        <v>2159</v>
      </c>
      <c r="B179" s="1" t="s">
        <v>1441</v>
      </c>
      <c r="C179" s="1" t="s">
        <v>96</v>
      </c>
      <c r="D179" s="1"/>
      <c r="E179" s="1"/>
      <c r="F179" s="1" t="s">
        <v>2153</v>
      </c>
      <c r="G179" s="1" t="s">
        <v>2154</v>
      </c>
      <c r="H179" s="1" t="s">
        <v>1402</v>
      </c>
      <c r="I179" s="1"/>
      <c r="J179" s="1" t="s">
        <v>2160</v>
      </c>
      <c r="K179" s="1" t="s">
        <v>1567</v>
      </c>
      <c r="L179" s="1" t="s">
        <v>2154</v>
      </c>
      <c r="M179" s="1" t="s">
        <v>93</v>
      </c>
      <c r="N179" s="1" t="s">
        <v>93</v>
      </c>
      <c r="O179" s="1" t="s">
        <v>1402</v>
      </c>
      <c r="P179" s="1"/>
      <c r="Q179" s="1"/>
    </row>
    <row r="180" spans="1:17" ht="43.5" x14ac:dyDescent="0.35">
      <c r="A180" s="1" t="s">
        <v>2159</v>
      </c>
      <c r="B180" s="1" t="s">
        <v>1441</v>
      </c>
      <c r="C180" s="1" t="s">
        <v>1701</v>
      </c>
      <c r="D180" s="1"/>
      <c r="E180" s="1"/>
      <c r="F180" s="1" t="s">
        <v>2153</v>
      </c>
      <c r="G180" s="1" t="s">
        <v>2154</v>
      </c>
      <c r="H180" s="1" t="s">
        <v>1402</v>
      </c>
      <c r="I180" s="1"/>
      <c r="J180" s="1" t="s">
        <v>2160</v>
      </c>
      <c r="K180" s="1" t="s">
        <v>1580</v>
      </c>
      <c r="L180" s="1" t="s">
        <v>2165</v>
      </c>
      <c r="M180" s="1" t="s">
        <v>2232</v>
      </c>
      <c r="N180" s="1" t="s">
        <v>628</v>
      </c>
      <c r="O180" s="1" t="s">
        <v>1358</v>
      </c>
      <c r="P180" s="1"/>
      <c r="Q180" s="1"/>
    </row>
    <row r="181" spans="1:17" ht="43.5" x14ac:dyDescent="0.35">
      <c r="A181" s="1" t="s">
        <v>2159</v>
      </c>
      <c r="B181" s="1" t="s">
        <v>1441</v>
      </c>
      <c r="C181" s="1" t="s">
        <v>1703</v>
      </c>
      <c r="D181" s="1"/>
      <c r="E181" s="1"/>
      <c r="F181" s="1" t="s">
        <v>2153</v>
      </c>
      <c r="G181" s="1" t="s">
        <v>2154</v>
      </c>
      <c r="H181" s="1" t="s">
        <v>1402</v>
      </c>
      <c r="I181" s="1"/>
      <c r="J181" s="1" t="s">
        <v>2160</v>
      </c>
      <c r="K181" s="1" t="s">
        <v>1597</v>
      </c>
      <c r="L181" s="1" t="s">
        <v>2154</v>
      </c>
      <c r="M181" s="1" t="s">
        <v>93</v>
      </c>
      <c r="N181" s="1" t="s">
        <v>93</v>
      </c>
      <c r="O181" s="1" t="s">
        <v>1402</v>
      </c>
      <c r="P181" s="1"/>
      <c r="Q181" s="1"/>
    </row>
    <row r="182" spans="1:17" ht="43.5" x14ac:dyDescent="0.35">
      <c r="A182" s="1" t="s">
        <v>1444</v>
      </c>
      <c r="B182" s="1" t="s">
        <v>1384</v>
      </c>
      <c r="C182" s="1" t="s">
        <v>84</v>
      </c>
      <c r="D182" s="1" t="s">
        <v>1442</v>
      </c>
      <c r="E182" s="1" t="s">
        <v>1443</v>
      </c>
      <c r="F182" s="1" t="s">
        <v>97</v>
      </c>
      <c r="G182" s="1"/>
      <c r="H182" s="1" t="s">
        <v>1358</v>
      </c>
      <c r="I182" s="1"/>
      <c r="J182" s="1" t="s">
        <v>2160</v>
      </c>
      <c r="K182" s="1" t="s">
        <v>1612</v>
      </c>
      <c r="L182" s="1" t="s">
        <v>2165</v>
      </c>
      <c r="M182" s="1" t="s">
        <v>2233</v>
      </c>
      <c r="N182" s="1" t="s">
        <v>93</v>
      </c>
      <c r="O182" s="1" t="s">
        <v>1402</v>
      </c>
      <c r="P182" s="1"/>
      <c r="Q182" s="1"/>
    </row>
    <row r="183" spans="1:17" ht="43.5" x14ac:dyDescent="0.35">
      <c r="A183" s="1" t="s">
        <v>1444</v>
      </c>
      <c r="B183" s="1" t="s">
        <v>1384</v>
      </c>
      <c r="C183" s="1" t="s">
        <v>84</v>
      </c>
      <c r="D183" s="1"/>
      <c r="E183" s="1"/>
      <c r="F183" s="1" t="s">
        <v>390</v>
      </c>
      <c r="G183" s="1" t="s">
        <v>598</v>
      </c>
      <c r="H183" s="1" t="s">
        <v>1358</v>
      </c>
      <c r="I183" s="1"/>
      <c r="J183" s="1" t="s">
        <v>2160</v>
      </c>
      <c r="K183" s="1" t="s">
        <v>1625</v>
      </c>
      <c r="L183" s="1" t="s">
        <v>2165</v>
      </c>
      <c r="M183" s="1" t="s">
        <v>2234</v>
      </c>
      <c r="N183" s="1" t="s">
        <v>630</v>
      </c>
      <c r="O183" s="1" t="s">
        <v>1358</v>
      </c>
      <c r="P183" s="1"/>
      <c r="Q183" s="1"/>
    </row>
    <row r="184" spans="1:17" ht="43.5" x14ac:dyDescent="0.35">
      <c r="A184" s="1" t="s">
        <v>1444</v>
      </c>
      <c r="B184" s="1" t="s">
        <v>1384</v>
      </c>
      <c r="C184" s="1" t="s">
        <v>87</v>
      </c>
      <c r="D184" s="1" t="s">
        <v>1489</v>
      </c>
      <c r="E184" s="1" t="s">
        <v>1490</v>
      </c>
      <c r="F184" s="1" t="s">
        <v>97</v>
      </c>
      <c r="G184" s="1"/>
      <c r="H184" s="1" t="s">
        <v>1358</v>
      </c>
      <c r="I184" s="1"/>
      <c r="J184" s="1" t="s">
        <v>2160</v>
      </c>
      <c r="K184" s="1" t="s">
        <v>1650</v>
      </c>
      <c r="L184" s="1" t="s">
        <v>2165</v>
      </c>
      <c r="M184" s="1" t="s">
        <v>2235</v>
      </c>
      <c r="N184" s="1" t="s">
        <v>93</v>
      </c>
      <c r="O184" s="1" t="s">
        <v>1402</v>
      </c>
      <c r="P184" s="1"/>
      <c r="Q184" s="1"/>
    </row>
    <row r="185" spans="1:17" ht="43.5" x14ac:dyDescent="0.35">
      <c r="A185" s="1" t="s">
        <v>1444</v>
      </c>
      <c r="B185" s="1" t="s">
        <v>1384</v>
      </c>
      <c r="C185" s="1" t="s">
        <v>87</v>
      </c>
      <c r="D185" s="1"/>
      <c r="E185" s="1"/>
      <c r="F185" s="1" t="s">
        <v>2155</v>
      </c>
      <c r="G185" s="1" t="s">
        <v>599</v>
      </c>
      <c r="H185" s="1" t="s">
        <v>1358</v>
      </c>
      <c r="I185" s="1"/>
      <c r="J185" s="1" t="s">
        <v>2160</v>
      </c>
      <c r="K185" s="1" t="s">
        <v>1671</v>
      </c>
      <c r="L185" s="1" t="s">
        <v>2165</v>
      </c>
      <c r="M185" s="1" t="s">
        <v>93</v>
      </c>
      <c r="N185" s="1" t="s">
        <v>632</v>
      </c>
      <c r="O185" s="1" t="s">
        <v>1358</v>
      </c>
      <c r="P185" s="1"/>
      <c r="Q185" s="1"/>
    </row>
    <row r="186" spans="1:17" ht="72.5" x14ac:dyDescent="0.35">
      <c r="A186" s="1" t="s">
        <v>1444</v>
      </c>
      <c r="B186" s="1" t="s">
        <v>1384</v>
      </c>
      <c r="C186" s="1" t="s">
        <v>86</v>
      </c>
      <c r="D186" s="1"/>
      <c r="E186" s="1"/>
      <c r="F186" s="1" t="s">
        <v>2157</v>
      </c>
      <c r="G186" s="1" t="s">
        <v>666</v>
      </c>
      <c r="H186" s="1" t="s">
        <v>1358</v>
      </c>
      <c r="I186" s="1"/>
      <c r="J186" s="1" t="s">
        <v>2160</v>
      </c>
      <c r="K186" s="1" t="s">
        <v>1676</v>
      </c>
      <c r="L186" s="1" t="s">
        <v>2154</v>
      </c>
      <c r="M186" s="1" t="s">
        <v>93</v>
      </c>
      <c r="N186" s="1" t="s">
        <v>93</v>
      </c>
      <c r="O186" s="1" t="s">
        <v>1402</v>
      </c>
      <c r="P186" s="1"/>
      <c r="Q186" s="1"/>
    </row>
    <row r="187" spans="1:17" ht="43.5" x14ac:dyDescent="0.35">
      <c r="A187" s="1" t="s">
        <v>1444</v>
      </c>
      <c r="B187" s="1" t="s">
        <v>1384</v>
      </c>
      <c r="C187" s="1" t="s">
        <v>1515</v>
      </c>
      <c r="D187" s="1" t="s">
        <v>1532</v>
      </c>
      <c r="E187" s="1" t="s">
        <v>1533</v>
      </c>
      <c r="F187" s="1" t="s">
        <v>97</v>
      </c>
      <c r="G187" s="1"/>
      <c r="H187" s="1" t="s">
        <v>1358</v>
      </c>
      <c r="I187" s="1"/>
      <c r="J187" s="1" t="s">
        <v>2160</v>
      </c>
      <c r="K187" s="1" t="s">
        <v>1681</v>
      </c>
      <c r="L187" s="1" t="s">
        <v>2154</v>
      </c>
      <c r="M187" s="1" t="s">
        <v>93</v>
      </c>
      <c r="N187" s="1" t="s">
        <v>93</v>
      </c>
      <c r="O187" s="1" t="s">
        <v>1402</v>
      </c>
      <c r="P187" s="1"/>
      <c r="Q187" s="1"/>
    </row>
    <row r="188" spans="1:17" ht="43.5" x14ac:dyDescent="0.35">
      <c r="A188" s="1" t="s">
        <v>1444</v>
      </c>
      <c r="B188" s="1" t="s">
        <v>1384</v>
      </c>
      <c r="C188" s="1" t="s">
        <v>1515</v>
      </c>
      <c r="D188" s="1" t="s">
        <v>1516</v>
      </c>
      <c r="E188" s="1" t="s">
        <v>1517</v>
      </c>
      <c r="F188" s="1" t="s">
        <v>97</v>
      </c>
      <c r="G188" s="1"/>
      <c r="H188" s="1" t="s">
        <v>1358</v>
      </c>
      <c r="I188" s="1"/>
      <c r="J188" s="1" t="s">
        <v>2160</v>
      </c>
      <c r="K188" s="1" t="s">
        <v>95</v>
      </c>
      <c r="L188" s="1" t="s">
        <v>2154</v>
      </c>
      <c r="M188" s="1" t="s">
        <v>93</v>
      </c>
      <c r="N188" s="1" t="s">
        <v>93</v>
      </c>
      <c r="O188" s="1" t="s">
        <v>1402</v>
      </c>
      <c r="P188" s="1"/>
      <c r="Q188" s="1"/>
    </row>
    <row r="189" spans="1:17" ht="43.5" x14ac:dyDescent="0.35">
      <c r="A189" s="1" t="s">
        <v>1444</v>
      </c>
      <c r="B189" s="1" t="s">
        <v>1384</v>
      </c>
      <c r="C189" s="1" t="s">
        <v>1515</v>
      </c>
      <c r="D189" s="1"/>
      <c r="E189" s="1"/>
      <c r="F189" s="1" t="s">
        <v>390</v>
      </c>
      <c r="G189" s="1" t="s">
        <v>600</v>
      </c>
      <c r="H189" s="1" t="s">
        <v>1358</v>
      </c>
      <c r="I189" s="1"/>
      <c r="J189" s="1" t="s">
        <v>2160</v>
      </c>
      <c r="K189" s="1" t="s">
        <v>96</v>
      </c>
      <c r="L189" s="1" t="s">
        <v>2154</v>
      </c>
      <c r="M189" s="1" t="s">
        <v>93</v>
      </c>
      <c r="N189" s="1" t="s">
        <v>93</v>
      </c>
      <c r="O189" s="1" t="s">
        <v>1402</v>
      </c>
      <c r="P189" s="1"/>
      <c r="Q189" s="1"/>
    </row>
    <row r="190" spans="1:17" ht="43.5" x14ac:dyDescent="0.35">
      <c r="A190" s="1" t="s">
        <v>1444</v>
      </c>
      <c r="B190" s="1" t="s">
        <v>1384</v>
      </c>
      <c r="C190" s="1" t="s">
        <v>1540</v>
      </c>
      <c r="D190" s="1"/>
      <c r="E190" s="1"/>
      <c r="F190" s="1" t="s">
        <v>1941</v>
      </c>
      <c r="G190" s="1" t="s">
        <v>601</v>
      </c>
      <c r="H190" s="1" t="s">
        <v>1358</v>
      </c>
      <c r="I190" s="1"/>
      <c r="J190" s="1" t="s">
        <v>2160</v>
      </c>
      <c r="K190" s="1" t="s">
        <v>1701</v>
      </c>
      <c r="L190" s="1" t="s">
        <v>2154</v>
      </c>
      <c r="M190" s="1" t="s">
        <v>93</v>
      </c>
      <c r="N190" s="1" t="s">
        <v>93</v>
      </c>
      <c r="O190" s="1" t="s">
        <v>1402</v>
      </c>
      <c r="P190" s="1"/>
      <c r="Q190" s="1"/>
    </row>
    <row r="191" spans="1:17" ht="43.5" x14ac:dyDescent="0.35">
      <c r="A191" s="1" t="s">
        <v>1444</v>
      </c>
      <c r="B191" s="1" t="s">
        <v>1384</v>
      </c>
      <c r="C191" s="1" t="s">
        <v>1546</v>
      </c>
      <c r="D191" s="1" t="s">
        <v>1557</v>
      </c>
      <c r="E191" s="1" t="s">
        <v>1558</v>
      </c>
      <c r="F191" s="1" t="s">
        <v>97</v>
      </c>
      <c r="G191" s="1"/>
      <c r="H191" s="1" t="s">
        <v>1402</v>
      </c>
      <c r="I191" s="1"/>
      <c r="J191" s="1" t="s">
        <v>2160</v>
      </c>
      <c r="K191" s="1" t="s">
        <v>1703</v>
      </c>
      <c r="L191" s="1" t="s">
        <v>2154</v>
      </c>
      <c r="M191" s="1" t="s">
        <v>93</v>
      </c>
      <c r="N191" s="1" t="s">
        <v>93</v>
      </c>
      <c r="O191" s="1" t="s">
        <v>1402</v>
      </c>
      <c r="P191" s="1"/>
      <c r="Q191" s="1"/>
    </row>
    <row r="192" spans="1:17" ht="43.5" x14ac:dyDescent="0.35">
      <c r="A192" s="1" t="s">
        <v>1444</v>
      </c>
      <c r="B192" s="1" t="s">
        <v>1384</v>
      </c>
      <c r="C192" s="1" t="s">
        <v>1567</v>
      </c>
      <c r="D192" s="1" t="s">
        <v>1574</v>
      </c>
      <c r="E192" s="1" t="s">
        <v>1575</v>
      </c>
      <c r="F192" s="1" t="s">
        <v>97</v>
      </c>
      <c r="G192" s="1"/>
      <c r="H192" s="1" t="s">
        <v>1358</v>
      </c>
      <c r="I192" s="1"/>
      <c r="J192" s="1" t="s">
        <v>1130</v>
      </c>
      <c r="K192" s="1" t="s">
        <v>84</v>
      </c>
      <c r="L192" s="1" t="s">
        <v>2165</v>
      </c>
      <c r="M192" s="1" t="s">
        <v>2236</v>
      </c>
      <c r="N192" s="1" t="s">
        <v>635</v>
      </c>
      <c r="O192" s="1" t="s">
        <v>1358</v>
      </c>
      <c r="P192" s="1"/>
      <c r="Q192" s="1"/>
    </row>
    <row r="193" spans="1:17" ht="43.5" x14ac:dyDescent="0.35">
      <c r="A193" s="1" t="s">
        <v>1444</v>
      </c>
      <c r="B193" s="1" t="s">
        <v>1384</v>
      </c>
      <c r="C193" s="1" t="s">
        <v>1567</v>
      </c>
      <c r="D193" s="1" t="s">
        <v>1565</v>
      </c>
      <c r="E193" s="1" t="s">
        <v>1566</v>
      </c>
      <c r="F193" s="1" t="s">
        <v>97</v>
      </c>
      <c r="G193" s="1"/>
      <c r="H193" s="1" t="s">
        <v>1358</v>
      </c>
      <c r="I193" s="1"/>
      <c r="J193" s="1" t="s">
        <v>1130</v>
      </c>
      <c r="K193" s="1" t="s">
        <v>87</v>
      </c>
      <c r="L193" s="1" t="s">
        <v>2154</v>
      </c>
      <c r="M193" s="1" t="s">
        <v>93</v>
      </c>
      <c r="N193" s="1" t="s">
        <v>93</v>
      </c>
      <c r="O193" s="1" t="s">
        <v>1402</v>
      </c>
      <c r="P193" s="1"/>
      <c r="Q193" s="1"/>
    </row>
    <row r="194" spans="1:17" ht="43.5" x14ac:dyDescent="0.35">
      <c r="A194" s="1" t="s">
        <v>1444</v>
      </c>
      <c r="B194" s="1" t="s">
        <v>1384</v>
      </c>
      <c r="C194" s="1" t="s">
        <v>1567</v>
      </c>
      <c r="D194" s="1"/>
      <c r="E194" s="1"/>
      <c r="F194" s="1" t="s">
        <v>390</v>
      </c>
      <c r="G194" s="1" t="s">
        <v>603</v>
      </c>
      <c r="H194" s="1" t="s">
        <v>1358</v>
      </c>
      <c r="I194" s="1"/>
      <c r="J194" s="1" t="s">
        <v>1130</v>
      </c>
      <c r="K194" s="1" t="s">
        <v>86</v>
      </c>
      <c r="L194" s="1" t="s">
        <v>2165</v>
      </c>
      <c r="M194" s="1" t="s">
        <v>2168</v>
      </c>
      <c r="N194" s="1" t="s">
        <v>669</v>
      </c>
      <c r="O194" s="1" t="s">
        <v>1358</v>
      </c>
      <c r="P194" s="1"/>
      <c r="Q194" s="1"/>
    </row>
    <row r="195" spans="1:17" ht="43.5" x14ac:dyDescent="0.35">
      <c r="A195" s="1" t="s">
        <v>1444</v>
      </c>
      <c r="B195" s="1" t="s">
        <v>1384</v>
      </c>
      <c r="C195" s="1" t="s">
        <v>1580</v>
      </c>
      <c r="D195" s="1" t="s">
        <v>1591</v>
      </c>
      <c r="E195" s="1" t="s">
        <v>1592</v>
      </c>
      <c r="F195" s="1" t="s">
        <v>97</v>
      </c>
      <c r="G195" s="1"/>
      <c r="H195" s="1" t="s">
        <v>1402</v>
      </c>
      <c r="I195" s="1"/>
      <c r="J195" s="1" t="s">
        <v>1130</v>
      </c>
      <c r="K195" s="1" t="s">
        <v>1515</v>
      </c>
      <c r="L195" s="1" t="s">
        <v>2165</v>
      </c>
      <c r="M195" s="1" t="s">
        <v>2169</v>
      </c>
      <c r="N195" s="1" t="s">
        <v>636</v>
      </c>
      <c r="O195" s="1" t="s">
        <v>1358</v>
      </c>
      <c r="P195" s="1"/>
      <c r="Q195" s="1"/>
    </row>
    <row r="196" spans="1:17" ht="43.5" x14ac:dyDescent="0.35">
      <c r="A196" s="1" t="s">
        <v>1444</v>
      </c>
      <c r="B196" s="1" t="s">
        <v>1384</v>
      </c>
      <c r="C196" s="1" t="s">
        <v>1597</v>
      </c>
      <c r="D196" s="1" t="s">
        <v>1606</v>
      </c>
      <c r="E196" s="1" t="s">
        <v>1607</v>
      </c>
      <c r="F196" s="1" t="s">
        <v>97</v>
      </c>
      <c r="G196" s="1"/>
      <c r="H196" s="1" t="s">
        <v>1402</v>
      </c>
      <c r="I196" s="1"/>
      <c r="J196" s="1" t="s">
        <v>1130</v>
      </c>
      <c r="K196" s="1" t="s">
        <v>1540</v>
      </c>
      <c r="L196" s="1" t="s">
        <v>2154</v>
      </c>
      <c r="M196" s="1" t="s">
        <v>93</v>
      </c>
      <c r="N196" s="1" t="s">
        <v>93</v>
      </c>
      <c r="O196" s="1" t="s">
        <v>1402</v>
      </c>
      <c r="P196" s="1"/>
      <c r="Q196" s="1"/>
    </row>
    <row r="197" spans="1:17" ht="43.5" x14ac:dyDescent="0.35">
      <c r="A197" s="1" t="s">
        <v>1444</v>
      </c>
      <c r="B197" s="1" t="s">
        <v>1384</v>
      </c>
      <c r="C197" s="1" t="s">
        <v>1612</v>
      </c>
      <c r="D197" s="1" t="s">
        <v>1613</v>
      </c>
      <c r="E197" s="1" t="s">
        <v>1614</v>
      </c>
      <c r="F197" s="1" t="s">
        <v>97</v>
      </c>
      <c r="G197" s="1"/>
      <c r="H197" s="1" t="s">
        <v>1402</v>
      </c>
      <c r="I197" s="1"/>
      <c r="J197" s="1" t="s">
        <v>1130</v>
      </c>
      <c r="K197" s="1" t="s">
        <v>1546</v>
      </c>
      <c r="L197" s="1" t="s">
        <v>2154</v>
      </c>
      <c r="M197" s="1" t="s">
        <v>93</v>
      </c>
      <c r="N197" s="1" t="s">
        <v>93</v>
      </c>
      <c r="O197" s="1" t="s">
        <v>1402</v>
      </c>
      <c r="P197" s="1"/>
      <c r="Q197" s="1"/>
    </row>
    <row r="198" spans="1:17" ht="43.5" x14ac:dyDescent="0.35">
      <c r="A198" s="1" t="s">
        <v>1444</v>
      </c>
      <c r="B198" s="1" t="s">
        <v>1384</v>
      </c>
      <c r="C198" s="1" t="s">
        <v>1625</v>
      </c>
      <c r="D198" s="1" t="s">
        <v>1640</v>
      </c>
      <c r="E198" s="1" t="s">
        <v>1641</v>
      </c>
      <c r="F198" s="1" t="s">
        <v>97</v>
      </c>
      <c r="G198" s="1"/>
      <c r="H198" s="1" t="s">
        <v>1402</v>
      </c>
      <c r="I198" s="1"/>
      <c r="J198" s="1" t="s">
        <v>1130</v>
      </c>
      <c r="K198" s="1" t="s">
        <v>1567</v>
      </c>
      <c r="L198" s="1" t="s">
        <v>2154</v>
      </c>
      <c r="M198" s="1" t="s">
        <v>93</v>
      </c>
      <c r="N198" s="1" t="s">
        <v>93</v>
      </c>
      <c r="O198" s="1" t="s">
        <v>1402</v>
      </c>
      <c r="P198" s="1"/>
      <c r="Q198" s="1"/>
    </row>
    <row r="199" spans="1:17" ht="43.5" x14ac:dyDescent="0.35">
      <c r="A199" s="1" t="s">
        <v>1444</v>
      </c>
      <c r="B199" s="1" t="s">
        <v>1384</v>
      </c>
      <c r="C199" s="1" t="s">
        <v>1650</v>
      </c>
      <c r="D199" s="1" t="s">
        <v>1665</v>
      </c>
      <c r="E199" s="1" t="s">
        <v>1666</v>
      </c>
      <c r="F199" s="1" t="s">
        <v>97</v>
      </c>
      <c r="G199" s="1"/>
      <c r="H199" s="1" t="s">
        <v>1402</v>
      </c>
      <c r="I199" s="1"/>
      <c r="J199" s="1" t="s">
        <v>1130</v>
      </c>
      <c r="K199" s="1" t="s">
        <v>1580</v>
      </c>
      <c r="L199" s="1" t="s">
        <v>2154</v>
      </c>
      <c r="M199" s="1" t="s">
        <v>93</v>
      </c>
      <c r="N199" s="1" t="s">
        <v>93</v>
      </c>
      <c r="O199" s="1" t="s">
        <v>1402</v>
      </c>
      <c r="P199" s="1"/>
      <c r="Q199" s="1"/>
    </row>
    <row r="200" spans="1:17" ht="43.5" x14ac:dyDescent="0.35">
      <c r="A200" s="1" t="s">
        <v>1444</v>
      </c>
      <c r="B200" s="1" t="s">
        <v>1384</v>
      </c>
      <c r="C200" s="1" t="s">
        <v>1671</v>
      </c>
      <c r="D200" s="1"/>
      <c r="E200" s="1"/>
      <c r="F200" s="1" t="s">
        <v>2153</v>
      </c>
      <c r="G200" s="1" t="s">
        <v>2154</v>
      </c>
      <c r="H200" s="1" t="s">
        <v>1402</v>
      </c>
      <c r="I200" s="1"/>
      <c r="J200" s="1" t="s">
        <v>1130</v>
      </c>
      <c r="K200" s="1" t="s">
        <v>1597</v>
      </c>
      <c r="L200" s="1" t="s">
        <v>2154</v>
      </c>
      <c r="M200" s="1" t="s">
        <v>93</v>
      </c>
      <c r="N200" s="1" t="s">
        <v>93</v>
      </c>
      <c r="O200" s="1" t="s">
        <v>1402</v>
      </c>
      <c r="P200" s="1"/>
      <c r="Q200" s="1"/>
    </row>
    <row r="201" spans="1:17" ht="43.5" x14ac:dyDescent="0.35">
      <c r="A201" s="1" t="s">
        <v>1444</v>
      </c>
      <c r="B201" s="1" t="s">
        <v>1384</v>
      </c>
      <c r="C201" s="1" t="s">
        <v>1676</v>
      </c>
      <c r="D201" s="1"/>
      <c r="E201" s="1"/>
      <c r="F201" s="1" t="s">
        <v>2153</v>
      </c>
      <c r="G201" s="1" t="s">
        <v>2154</v>
      </c>
      <c r="H201" s="1" t="s">
        <v>1402</v>
      </c>
      <c r="I201" s="1"/>
      <c r="J201" s="1" t="s">
        <v>1130</v>
      </c>
      <c r="K201" s="1" t="s">
        <v>1612</v>
      </c>
      <c r="L201" s="1" t="s">
        <v>2154</v>
      </c>
      <c r="M201" s="1" t="s">
        <v>93</v>
      </c>
      <c r="N201" s="1" t="s">
        <v>93</v>
      </c>
      <c r="O201" s="1" t="s">
        <v>1402</v>
      </c>
      <c r="P201" s="1"/>
      <c r="Q201" s="1"/>
    </row>
    <row r="202" spans="1:17" ht="43.5" x14ac:dyDescent="0.35">
      <c r="A202" s="1" t="s">
        <v>1444</v>
      </c>
      <c r="B202" s="1" t="s">
        <v>1384</v>
      </c>
      <c r="C202" s="1" t="s">
        <v>1681</v>
      </c>
      <c r="D202" s="1" t="s">
        <v>1684</v>
      </c>
      <c r="E202" s="1" t="s">
        <v>1685</v>
      </c>
      <c r="F202" s="1" t="s">
        <v>97</v>
      </c>
      <c r="G202" s="1"/>
      <c r="H202" s="1" t="s">
        <v>1402</v>
      </c>
      <c r="I202" s="1"/>
      <c r="J202" s="1" t="s">
        <v>1130</v>
      </c>
      <c r="K202" s="1" t="s">
        <v>1625</v>
      </c>
      <c r="L202" s="1" t="s">
        <v>2165</v>
      </c>
      <c r="M202" s="1" t="s">
        <v>93</v>
      </c>
      <c r="N202" s="1" t="s">
        <v>637</v>
      </c>
      <c r="O202" s="1" t="s">
        <v>1358</v>
      </c>
      <c r="P202" s="1"/>
      <c r="Q202" s="1"/>
    </row>
    <row r="203" spans="1:17" ht="43.5" x14ac:dyDescent="0.35">
      <c r="A203" s="1" t="s">
        <v>1444</v>
      </c>
      <c r="B203" s="1" t="s">
        <v>1384</v>
      </c>
      <c r="C203" s="1" t="s">
        <v>95</v>
      </c>
      <c r="D203" s="1" t="s">
        <v>1695</v>
      </c>
      <c r="E203" s="1" t="s">
        <v>1696</v>
      </c>
      <c r="F203" s="1" t="s">
        <v>97</v>
      </c>
      <c r="G203" s="1"/>
      <c r="H203" s="1" t="s">
        <v>1358</v>
      </c>
      <c r="I203" s="1"/>
      <c r="J203" s="1" t="s">
        <v>1130</v>
      </c>
      <c r="K203" s="1" t="s">
        <v>1650</v>
      </c>
      <c r="L203" s="1" t="s">
        <v>2154</v>
      </c>
      <c r="M203" s="1" t="s">
        <v>93</v>
      </c>
      <c r="N203" s="1" t="s">
        <v>93</v>
      </c>
      <c r="O203" s="1" t="s">
        <v>1402</v>
      </c>
      <c r="P203" s="1"/>
      <c r="Q203" s="1"/>
    </row>
    <row r="204" spans="1:17" ht="43.5" x14ac:dyDescent="0.35">
      <c r="A204" s="1" t="s">
        <v>1444</v>
      </c>
      <c r="B204" s="1" t="s">
        <v>1384</v>
      </c>
      <c r="C204" s="1" t="s">
        <v>95</v>
      </c>
      <c r="D204" s="1"/>
      <c r="E204" s="1"/>
      <c r="F204" s="1" t="s">
        <v>390</v>
      </c>
      <c r="G204" s="1" t="s">
        <v>610</v>
      </c>
      <c r="H204" s="1" t="s">
        <v>1358</v>
      </c>
      <c r="I204" s="1"/>
      <c r="J204" s="1" t="s">
        <v>1130</v>
      </c>
      <c r="K204" s="1" t="s">
        <v>1671</v>
      </c>
      <c r="L204" s="1" t="s">
        <v>2154</v>
      </c>
      <c r="M204" s="1" t="s">
        <v>93</v>
      </c>
      <c r="N204" s="1" t="s">
        <v>93</v>
      </c>
      <c r="O204" s="1" t="s">
        <v>1402</v>
      </c>
      <c r="P204" s="1"/>
      <c r="Q204" s="1"/>
    </row>
    <row r="205" spans="1:17" ht="43.5" x14ac:dyDescent="0.35">
      <c r="A205" s="1" t="s">
        <v>1444</v>
      </c>
      <c r="B205" s="1" t="s">
        <v>1384</v>
      </c>
      <c r="C205" s="1" t="s">
        <v>96</v>
      </c>
      <c r="D205" s="1"/>
      <c r="E205" s="1"/>
      <c r="F205" s="1" t="s">
        <v>2153</v>
      </c>
      <c r="G205" s="1" t="s">
        <v>2154</v>
      </c>
      <c r="H205" s="1" t="s">
        <v>1402</v>
      </c>
      <c r="I205" s="1"/>
      <c r="J205" s="1" t="s">
        <v>1130</v>
      </c>
      <c r="K205" s="1" t="s">
        <v>1676</v>
      </c>
      <c r="L205" s="1" t="s">
        <v>2154</v>
      </c>
      <c r="M205" s="1" t="s">
        <v>93</v>
      </c>
      <c r="N205" s="1" t="s">
        <v>93</v>
      </c>
      <c r="O205" s="1" t="s">
        <v>1402</v>
      </c>
      <c r="P205" s="1"/>
      <c r="Q205" s="1"/>
    </row>
    <row r="206" spans="1:17" ht="43.5" x14ac:dyDescent="0.35">
      <c r="A206" s="1" t="s">
        <v>1444</v>
      </c>
      <c r="B206" s="1" t="s">
        <v>1384</v>
      </c>
      <c r="C206" s="1" t="s">
        <v>1701</v>
      </c>
      <c r="D206" s="1"/>
      <c r="E206" s="1"/>
      <c r="F206" s="1" t="s">
        <v>2153</v>
      </c>
      <c r="G206" s="1" t="s">
        <v>2154</v>
      </c>
      <c r="H206" s="1" t="s">
        <v>1402</v>
      </c>
      <c r="I206" s="1"/>
      <c r="J206" s="1" t="s">
        <v>1130</v>
      </c>
      <c r="K206" s="1" t="s">
        <v>1681</v>
      </c>
      <c r="L206" s="1" t="s">
        <v>2154</v>
      </c>
      <c r="M206" s="1" t="s">
        <v>93</v>
      </c>
      <c r="N206" s="1" t="s">
        <v>93</v>
      </c>
      <c r="O206" s="1" t="s">
        <v>1402</v>
      </c>
      <c r="P206" s="1"/>
      <c r="Q206" s="1"/>
    </row>
    <row r="207" spans="1:17" ht="43.5" x14ac:dyDescent="0.35">
      <c r="A207" s="1" t="s">
        <v>1444</v>
      </c>
      <c r="B207" s="1" t="s">
        <v>1384</v>
      </c>
      <c r="C207" s="1" t="s">
        <v>1703</v>
      </c>
      <c r="D207" s="1"/>
      <c r="E207" s="1"/>
      <c r="F207" s="1" t="s">
        <v>2153</v>
      </c>
      <c r="G207" s="1" t="s">
        <v>2154</v>
      </c>
      <c r="H207" s="1" t="s">
        <v>1402</v>
      </c>
      <c r="I207" s="1"/>
      <c r="J207" s="1" t="s">
        <v>1130</v>
      </c>
      <c r="K207" s="1" t="s">
        <v>95</v>
      </c>
      <c r="L207" s="1" t="s">
        <v>2165</v>
      </c>
      <c r="M207" s="1" t="s">
        <v>93</v>
      </c>
      <c r="N207" s="1" t="s">
        <v>638</v>
      </c>
      <c r="O207" s="1" t="s">
        <v>1358</v>
      </c>
      <c r="P207" s="1"/>
      <c r="Q207" s="1"/>
    </row>
    <row r="208" spans="1:17" ht="43.5" x14ac:dyDescent="0.35">
      <c r="A208" s="1" t="s">
        <v>1447</v>
      </c>
      <c r="B208" s="1" t="s">
        <v>1381</v>
      </c>
      <c r="C208" s="1" t="s">
        <v>84</v>
      </c>
      <c r="D208" s="1" t="s">
        <v>1445</v>
      </c>
      <c r="E208" s="1" t="s">
        <v>1446</v>
      </c>
      <c r="F208" s="1" t="s">
        <v>97</v>
      </c>
      <c r="G208" s="1"/>
      <c r="H208" s="1" t="s">
        <v>1358</v>
      </c>
      <c r="I208" s="1"/>
      <c r="J208" s="1" t="s">
        <v>1130</v>
      </c>
      <c r="K208" s="1" t="s">
        <v>96</v>
      </c>
      <c r="L208" s="1" t="s">
        <v>2154</v>
      </c>
      <c r="M208" s="1" t="s">
        <v>93</v>
      </c>
      <c r="N208" s="1" t="s">
        <v>93</v>
      </c>
      <c r="O208" s="1" t="s">
        <v>1402</v>
      </c>
      <c r="P208" s="1"/>
      <c r="Q208" s="1"/>
    </row>
    <row r="209" spans="1:17" ht="43.5" x14ac:dyDescent="0.35">
      <c r="A209" s="1" t="s">
        <v>1447</v>
      </c>
      <c r="B209" s="1" t="s">
        <v>1381</v>
      </c>
      <c r="C209" s="1" t="s">
        <v>84</v>
      </c>
      <c r="D209" s="1" t="s">
        <v>1449</v>
      </c>
      <c r="E209" s="1" t="s">
        <v>1450</v>
      </c>
      <c r="F209" s="1" t="s">
        <v>97</v>
      </c>
      <c r="G209" s="1"/>
      <c r="H209" s="1" t="s">
        <v>1358</v>
      </c>
      <c r="I209" s="1"/>
      <c r="J209" s="1" t="s">
        <v>1130</v>
      </c>
      <c r="K209" s="1" t="s">
        <v>1701</v>
      </c>
      <c r="L209" s="1" t="s">
        <v>2154</v>
      </c>
      <c r="M209" s="1" t="s">
        <v>93</v>
      </c>
      <c r="N209" s="1" t="s">
        <v>93</v>
      </c>
      <c r="O209" s="1" t="s">
        <v>1402</v>
      </c>
      <c r="P209" s="1"/>
      <c r="Q209" s="1"/>
    </row>
    <row r="210" spans="1:17" ht="43.5" x14ac:dyDescent="0.35">
      <c r="A210" s="1" t="s">
        <v>1447</v>
      </c>
      <c r="B210" s="1" t="s">
        <v>1381</v>
      </c>
      <c r="C210" s="1" t="s">
        <v>84</v>
      </c>
      <c r="D210" s="1"/>
      <c r="E210" s="1"/>
      <c r="F210" s="1" t="s">
        <v>2155</v>
      </c>
      <c r="G210" s="1" t="s">
        <v>613</v>
      </c>
      <c r="H210" s="1" t="s">
        <v>1358</v>
      </c>
      <c r="I210" s="1"/>
      <c r="J210" s="1" t="s">
        <v>1130</v>
      </c>
      <c r="K210" s="1" t="s">
        <v>1703</v>
      </c>
      <c r="L210" s="1" t="s">
        <v>2154</v>
      </c>
      <c r="M210" s="1" t="s">
        <v>93</v>
      </c>
      <c r="N210" s="1" t="s">
        <v>93</v>
      </c>
      <c r="O210" s="1" t="s">
        <v>1402</v>
      </c>
      <c r="P210" s="1"/>
      <c r="Q210" s="1"/>
    </row>
    <row r="211" spans="1:17" ht="43.5" x14ac:dyDescent="0.35">
      <c r="A211" s="1" t="s">
        <v>1447</v>
      </c>
      <c r="B211" s="1" t="s">
        <v>1381</v>
      </c>
      <c r="C211" s="1" t="s">
        <v>87</v>
      </c>
      <c r="D211" s="1" t="s">
        <v>1489</v>
      </c>
      <c r="E211" s="1" t="s">
        <v>1490</v>
      </c>
      <c r="F211" s="1" t="s">
        <v>97</v>
      </c>
      <c r="G211" s="1"/>
      <c r="H211" s="1" t="s">
        <v>1358</v>
      </c>
      <c r="I211" s="1"/>
      <c r="J211" s="1" t="s">
        <v>2161</v>
      </c>
      <c r="K211" s="1" t="s">
        <v>84</v>
      </c>
      <c r="L211" s="1" t="s">
        <v>2165</v>
      </c>
      <c r="M211" s="1" t="s">
        <v>93</v>
      </c>
      <c r="N211" s="1" t="s">
        <v>641</v>
      </c>
      <c r="O211" s="1" t="s">
        <v>1358</v>
      </c>
      <c r="P211" s="1"/>
      <c r="Q211" s="1"/>
    </row>
    <row r="212" spans="1:17" ht="43.5" x14ac:dyDescent="0.35">
      <c r="A212" s="1" t="s">
        <v>1447</v>
      </c>
      <c r="B212" s="1" t="s">
        <v>1381</v>
      </c>
      <c r="C212" s="1" t="s">
        <v>87</v>
      </c>
      <c r="D212" s="1"/>
      <c r="E212" s="1"/>
      <c r="F212" s="1" t="s">
        <v>390</v>
      </c>
      <c r="G212" s="1" t="s">
        <v>614</v>
      </c>
      <c r="H212" s="1" t="s">
        <v>1358</v>
      </c>
      <c r="I212" s="1"/>
      <c r="J212" s="1" t="s">
        <v>2161</v>
      </c>
      <c r="K212" s="1" t="s">
        <v>87</v>
      </c>
      <c r="L212" s="1" t="s">
        <v>2154</v>
      </c>
      <c r="M212" s="1" t="s">
        <v>93</v>
      </c>
      <c r="N212" s="1" t="s">
        <v>93</v>
      </c>
      <c r="O212" s="1" t="s">
        <v>1402</v>
      </c>
      <c r="P212" s="1"/>
      <c r="Q212" s="1"/>
    </row>
    <row r="213" spans="1:17" ht="43.5" x14ac:dyDescent="0.35">
      <c r="A213" s="1" t="s">
        <v>1447</v>
      </c>
      <c r="B213" s="1" t="s">
        <v>1381</v>
      </c>
      <c r="C213" s="1" t="s">
        <v>86</v>
      </c>
      <c r="D213" s="1" t="s">
        <v>1499</v>
      </c>
      <c r="E213" s="1" t="s">
        <v>1500</v>
      </c>
      <c r="F213" s="1" t="s">
        <v>97</v>
      </c>
      <c r="G213" s="1"/>
      <c r="H213" s="1" t="s">
        <v>1358</v>
      </c>
      <c r="I213" s="1"/>
      <c r="J213" s="1" t="s">
        <v>2161</v>
      </c>
      <c r="K213" s="1" t="s">
        <v>86</v>
      </c>
      <c r="L213" s="1" t="s">
        <v>2165</v>
      </c>
      <c r="M213" s="1" t="s">
        <v>2237</v>
      </c>
      <c r="N213" s="1" t="s">
        <v>670</v>
      </c>
      <c r="O213" s="1" t="s">
        <v>1358</v>
      </c>
      <c r="P213" s="1"/>
      <c r="Q213" s="1"/>
    </row>
    <row r="214" spans="1:17" ht="43.5" x14ac:dyDescent="0.35">
      <c r="A214" s="1" t="s">
        <v>1447</v>
      </c>
      <c r="B214" s="1" t="s">
        <v>1381</v>
      </c>
      <c r="C214" s="1" t="s">
        <v>86</v>
      </c>
      <c r="D214" s="1"/>
      <c r="E214" s="1"/>
      <c r="F214" s="1" t="s">
        <v>390</v>
      </c>
      <c r="G214" s="1" t="s">
        <v>667</v>
      </c>
      <c r="H214" s="1" t="s">
        <v>1358</v>
      </c>
      <c r="I214" s="1"/>
      <c r="J214" s="1" t="s">
        <v>2161</v>
      </c>
      <c r="K214" s="1" t="s">
        <v>1515</v>
      </c>
      <c r="L214" s="1" t="s">
        <v>2165</v>
      </c>
      <c r="M214" s="1" t="s">
        <v>2238</v>
      </c>
      <c r="N214" s="1" t="s">
        <v>642</v>
      </c>
      <c r="O214" s="1" t="s">
        <v>1358</v>
      </c>
      <c r="P214" s="1"/>
      <c r="Q214" s="1"/>
    </row>
    <row r="215" spans="1:17" ht="43.5" x14ac:dyDescent="0.35">
      <c r="A215" s="1" t="s">
        <v>1447</v>
      </c>
      <c r="B215" s="1" t="s">
        <v>1381</v>
      </c>
      <c r="C215" s="1" t="s">
        <v>1515</v>
      </c>
      <c r="D215" s="1" t="s">
        <v>1513</v>
      </c>
      <c r="E215" s="1" t="s">
        <v>1514</v>
      </c>
      <c r="F215" s="1" t="s">
        <v>97</v>
      </c>
      <c r="G215" s="1"/>
      <c r="H215" s="1" t="s">
        <v>1358</v>
      </c>
      <c r="I215" s="1"/>
      <c r="J215" s="1" t="s">
        <v>2161</v>
      </c>
      <c r="K215" s="1" t="s">
        <v>1540</v>
      </c>
      <c r="L215" s="1" t="s">
        <v>2154</v>
      </c>
      <c r="M215" s="1" t="s">
        <v>93</v>
      </c>
      <c r="N215" s="1" t="s">
        <v>93</v>
      </c>
      <c r="O215" s="1" t="s">
        <v>1402</v>
      </c>
      <c r="P215" s="1"/>
      <c r="Q215" s="1"/>
    </row>
    <row r="216" spans="1:17" ht="43.5" x14ac:dyDescent="0.35">
      <c r="A216" s="1" t="s">
        <v>1447</v>
      </c>
      <c r="B216" s="1" t="s">
        <v>1381</v>
      </c>
      <c r="C216" s="1" t="s">
        <v>1515</v>
      </c>
      <c r="D216" s="1" t="s">
        <v>1534</v>
      </c>
      <c r="E216" s="1" t="s">
        <v>1535</v>
      </c>
      <c r="F216" s="1" t="s">
        <v>97</v>
      </c>
      <c r="G216" s="1"/>
      <c r="H216" s="1" t="s">
        <v>1358</v>
      </c>
      <c r="I216" s="1"/>
      <c r="J216" s="1" t="s">
        <v>2161</v>
      </c>
      <c r="K216" s="1" t="s">
        <v>1546</v>
      </c>
      <c r="L216" s="1" t="s">
        <v>2165</v>
      </c>
      <c r="M216" s="1" t="s">
        <v>93</v>
      </c>
      <c r="N216" s="1" t="s">
        <v>643</v>
      </c>
      <c r="O216" s="1" t="s">
        <v>1358</v>
      </c>
      <c r="P216" s="1"/>
      <c r="Q216" s="1"/>
    </row>
    <row r="217" spans="1:17" ht="43.5" x14ac:dyDescent="0.35">
      <c r="A217" s="1" t="s">
        <v>1447</v>
      </c>
      <c r="B217" s="1" t="s">
        <v>1381</v>
      </c>
      <c r="C217" s="1" t="s">
        <v>1515</v>
      </c>
      <c r="D217" s="1"/>
      <c r="E217" s="1"/>
      <c r="F217" s="1" t="s">
        <v>2155</v>
      </c>
      <c r="G217" s="1" t="s">
        <v>615</v>
      </c>
      <c r="H217" s="1" t="s">
        <v>1358</v>
      </c>
      <c r="I217" s="1"/>
      <c r="J217" s="1" t="s">
        <v>2161</v>
      </c>
      <c r="K217" s="1" t="s">
        <v>1567</v>
      </c>
      <c r="L217" s="1" t="s">
        <v>2154</v>
      </c>
      <c r="M217" s="1" t="s">
        <v>93</v>
      </c>
      <c r="N217" s="1" t="s">
        <v>93</v>
      </c>
      <c r="O217" s="1" t="s">
        <v>1402</v>
      </c>
      <c r="P217" s="1"/>
      <c r="Q217" s="1"/>
    </row>
    <row r="218" spans="1:17" ht="43.5" x14ac:dyDescent="0.35">
      <c r="A218" s="1" t="s">
        <v>1447</v>
      </c>
      <c r="B218" s="1" t="s">
        <v>1381</v>
      </c>
      <c r="C218" s="1" t="s">
        <v>1540</v>
      </c>
      <c r="D218" s="1"/>
      <c r="E218" s="1"/>
      <c r="F218" s="1" t="s">
        <v>2153</v>
      </c>
      <c r="G218" s="1" t="s">
        <v>2154</v>
      </c>
      <c r="H218" s="1" t="s">
        <v>1402</v>
      </c>
      <c r="I218" s="1"/>
      <c r="J218" s="1" t="s">
        <v>2161</v>
      </c>
      <c r="K218" s="1" t="s">
        <v>1580</v>
      </c>
      <c r="L218" s="1" t="s">
        <v>2154</v>
      </c>
      <c r="M218" s="1" t="s">
        <v>93</v>
      </c>
      <c r="N218" s="1" t="s">
        <v>93</v>
      </c>
      <c r="O218" s="1" t="s">
        <v>1402</v>
      </c>
      <c r="P218" s="1"/>
      <c r="Q218" s="1"/>
    </row>
    <row r="219" spans="1:17" ht="43.5" x14ac:dyDescent="0.35">
      <c r="A219" s="1" t="s">
        <v>1447</v>
      </c>
      <c r="B219" s="1" t="s">
        <v>1381</v>
      </c>
      <c r="C219" s="1" t="s">
        <v>1546</v>
      </c>
      <c r="D219" s="1" t="s">
        <v>1559</v>
      </c>
      <c r="E219" s="1" t="s">
        <v>1560</v>
      </c>
      <c r="F219" s="1" t="s">
        <v>97</v>
      </c>
      <c r="G219" s="1"/>
      <c r="H219" s="1" t="s">
        <v>1358</v>
      </c>
      <c r="I219" s="1"/>
      <c r="J219" s="1" t="s">
        <v>2161</v>
      </c>
      <c r="K219" s="1" t="s">
        <v>1597</v>
      </c>
      <c r="L219" s="1" t="s">
        <v>2154</v>
      </c>
      <c r="M219" s="1" t="s">
        <v>93</v>
      </c>
      <c r="N219" s="1" t="s">
        <v>93</v>
      </c>
      <c r="O219" s="1" t="s">
        <v>1402</v>
      </c>
      <c r="P219" s="1"/>
      <c r="Q219" s="1"/>
    </row>
    <row r="220" spans="1:17" ht="43.5" x14ac:dyDescent="0.35">
      <c r="A220" s="1" t="s">
        <v>1447</v>
      </c>
      <c r="B220" s="1" t="s">
        <v>1381</v>
      </c>
      <c r="C220" s="1" t="s">
        <v>1546</v>
      </c>
      <c r="D220" s="1"/>
      <c r="E220" s="1"/>
      <c r="F220" s="1" t="s">
        <v>390</v>
      </c>
      <c r="G220" s="1" t="s">
        <v>616</v>
      </c>
      <c r="H220" s="1" t="s">
        <v>1358</v>
      </c>
      <c r="I220" s="1"/>
      <c r="J220" s="1" t="s">
        <v>2161</v>
      </c>
      <c r="K220" s="1" t="s">
        <v>1612</v>
      </c>
      <c r="L220" s="1" t="s">
        <v>2154</v>
      </c>
      <c r="M220" s="1" t="s">
        <v>93</v>
      </c>
      <c r="N220" s="1" t="s">
        <v>93</v>
      </c>
      <c r="O220" s="1" t="s">
        <v>1402</v>
      </c>
      <c r="P220" s="1"/>
      <c r="Q220" s="1"/>
    </row>
    <row r="221" spans="1:17" ht="43.5" x14ac:dyDescent="0.35">
      <c r="A221" s="1" t="s">
        <v>1447</v>
      </c>
      <c r="B221" s="1" t="s">
        <v>1381</v>
      </c>
      <c r="C221" s="1" t="s">
        <v>1567</v>
      </c>
      <c r="D221" s="1" t="s">
        <v>1576</v>
      </c>
      <c r="E221" s="1" t="s">
        <v>1577</v>
      </c>
      <c r="F221" s="1" t="s">
        <v>97</v>
      </c>
      <c r="G221" s="1"/>
      <c r="H221" s="1" t="s">
        <v>1358</v>
      </c>
      <c r="I221" s="1"/>
      <c r="J221" s="1" t="s">
        <v>2161</v>
      </c>
      <c r="K221" s="1" t="s">
        <v>1625</v>
      </c>
      <c r="L221" s="1" t="s">
        <v>2165</v>
      </c>
      <c r="M221" s="1" t="s">
        <v>2239</v>
      </c>
      <c r="N221" s="1" t="s">
        <v>93</v>
      </c>
      <c r="O221" s="1" t="s">
        <v>1402</v>
      </c>
      <c r="P221" s="1"/>
      <c r="Q221" s="1"/>
    </row>
    <row r="222" spans="1:17" ht="43.5" x14ac:dyDescent="0.35">
      <c r="A222" s="1" t="s">
        <v>1447</v>
      </c>
      <c r="B222" s="1" t="s">
        <v>1381</v>
      </c>
      <c r="C222" s="1" t="s">
        <v>1567</v>
      </c>
      <c r="D222" s="1" t="s">
        <v>1565</v>
      </c>
      <c r="E222" s="1" t="s">
        <v>1566</v>
      </c>
      <c r="F222" s="1" t="s">
        <v>97</v>
      </c>
      <c r="G222" s="1"/>
      <c r="H222" s="1" t="s">
        <v>1358</v>
      </c>
      <c r="I222" s="1"/>
      <c r="J222" s="1" t="s">
        <v>2161</v>
      </c>
      <c r="K222" s="1" t="s">
        <v>1650</v>
      </c>
      <c r="L222" s="1" t="s">
        <v>2165</v>
      </c>
      <c r="M222" s="1" t="s">
        <v>2240</v>
      </c>
      <c r="N222" s="1" t="s">
        <v>93</v>
      </c>
      <c r="O222" s="1" t="s">
        <v>1402</v>
      </c>
      <c r="P222" s="1"/>
      <c r="Q222" s="1"/>
    </row>
    <row r="223" spans="1:17" ht="43.5" x14ac:dyDescent="0.35">
      <c r="A223" s="1" t="s">
        <v>1447</v>
      </c>
      <c r="B223" s="1" t="s">
        <v>1381</v>
      </c>
      <c r="C223" s="1" t="s">
        <v>1567</v>
      </c>
      <c r="D223" s="1"/>
      <c r="E223" s="1"/>
      <c r="F223" s="1" t="s">
        <v>390</v>
      </c>
      <c r="G223" s="1" t="s">
        <v>617</v>
      </c>
      <c r="H223" s="1" t="s">
        <v>1358</v>
      </c>
      <c r="I223" s="1"/>
      <c r="J223" s="1" t="s">
        <v>2161</v>
      </c>
      <c r="K223" s="1" t="s">
        <v>1671</v>
      </c>
      <c r="L223" s="1" t="s">
        <v>2154</v>
      </c>
      <c r="M223" s="1" t="s">
        <v>93</v>
      </c>
      <c r="N223" s="1" t="s">
        <v>93</v>
      </c>
      <c r="O223" s="1" t="s">
        <v>1402</v>
      </c>
      <c r="P223" s="1"/>
      <c r="Q223" s="1"/>
    </row>
    <row r="224" spans="1:17" ht="43.5" x14ac:dyDescent="0.35">
      <c r="A224" s="1" t="s">
        <v>1447</v>
      </c>
      <c r="B224" s="1" t="s">
        <v>1381</v>
      </c>
      <c r="C224" s="1" t="s">
        <v>1580</v>
      </c>
      <c r="D224" s="1" t="s">
        <v>1593</v>
      </c>
      <c r="E224" s="1" t="s">
        <v>1594</v>
      </c>
      <c r="F224" s="1" t="s">
        <v>97</v>
      </c>
      <c r="G224" s="1"/>
      <c r="H224" s="1" t="s">
        <v>1358</v>
      </c>
      <c r="I224" s="1"/>
      <c r="J224" s="1" t="s">
        <v>2161</v>
      </c>
      <c r="K224" s="1" t="s">
        <v>1676</v>
      </c>
      <c r="L224" s="1" t="s">
        <v>2154</v>
      </c>
      <c r="M224" s="1" t="s">
        <v>93</v>
      </c>
      <c r="N224" s="1" t="s">
        <v>93</v>
      </c>
      <c r="O224" s="1" t="s">
        <v>1402</v>
      </c>
      <c r="P224" s="1"/>
      <c r="Q224" s="1"/>
    </row>
    <row r="225" spans="1:17" ht="43.5" x14ac:dyDescent="0.35">
      <c r="A225" s="1" t="s">
        <v>1447</v>
      </c>
      <c r="B225" s="1" t="s">
        <v>1381</v>
      </c>
      <c r="C225" s="1" t="s">
        <v>1580</v>
      </c>
      <c r="D225" s="1"/>
      <c r="E225" s="1"/>
      <c r="F225" s="1" t="s">
        <v>390</v>
      </c>
      <c r="G225" s="1" t="s">
        <v>618</v>
      </c>
      <c r="H225" s="1" t="s">
        <v>1358</v>
      </c>
      <c r="I225" s="1"/>
      <c r="J225" s="1" t="s">
        <v>2161</v>
      </c>
      <c r="K225" s="1" t="s">
        <v>1681</v>
      </c>
      <c r="L225" s="1" t="s">
        <v>2154</v>
      </c>
      <c r="M225" s="1" t="s">
        <v>93</v>
      </c>
      <c r="N225" s="1" t="s">
        <v>93</v>
      </c>
      <c r="O225" s="1" t="s">
        <v>1402</v>
      </c>
      <c r="P225" s="1"/>
      <c r="Q225" s="1"/>
    </row>
    <row r="226" spans="1:17" ht="43.5" x14ac:dyDescent="0.35">
      <c r="A226" s="1" t="s">
        <v>1447</v>
      </c>
      <c r="B226" s="1" t="s">
        <v>1381</v>
      </c>
      <c r="C226" s="1" t="s">
        <v>1597</v>
      </c>
      <c r="D226" s="1" t="s">
        <v>1608</v>
      </c>
      <c r="E226" s="1" t="s">
        <v>1609</v>
      </c>
      <c r="F226" s="1" t="s">
        <v>97</v>
      </c>
      <c r="G226" s="1"/>
      <c r="H226" s="1" t="s">
        <v>1358</v>
      </c>
      <c r="I226" s="1"/>
      <c r="J226" s="1" t="s">
        <v>2161</v>
      </c>
      <c r="K226" s="1" t="s">
        <v>95</v>
      </c>
      <c r="L226" s="1" t="s">
        <v>2165</v>
      </c>
      <c r="M226" s="1" t="s">
        <v>93</v>
      </c>
      <c r="N226" s="1" t="s">
        <v>646</v>
      </c>
      <c r="O226" s="1" t="s">
        <v>1358</v>
      </c>
      <c r="P226" s="1"/>
      <c r="Q226" s="1"/>
    </row>
    <row r="227" spans="1:17" ht="43.5" x14ac:dyDescent="0.35">
      <c r="A227" s="1" t="s">
        <v>1447</v>
      </c>
      <c r="B227" s="1" t="s">
        <v>1381</v>
      </c>
      <c r="C227" s="1" t="s">
        <v>1597</v>
      </c>
      <c r="D227" s="1"/>
      <c r="E227" s="1"/>
      <c r="F227" s="1" t="s">
        <v>390</v>
      </c>
      <c r="G227" s="1" t="s">
        <v>619</v>
      </c>
      <c r="H227" s="1" t="s">
        <v>1358</v>
      </c>
      <c r="I227" s="1"/>
      <c r="J227" s="1" t="s">
        <v>2161</v>
      </c>
      <c r="K227" s="1" t="s">
        <v>96</v>
      </c>
      <c r="L227" s="1" t="s">
        <v>2154</v>
      </c>
      <c r="M227" s="1" t="s">
        <v>93</v>
      </c>
      <c r="N227" s="1" t="s">
        <v>93</v>
      </c>
      <c r="O227" s="1" t="s">
        <v>1402</v>
      </c>
      <c r="P227" s="1"/>
      <c r="Q227" s="1"/>
    </row>
    <row r="228" spans="1:17" ht="43.5" x14ac:dyDescent="0.35">
      <c r="A228" s="1" t="s">
        <v>1447</v>
      </c>
      <c r="B228" s="1" t="s">
        <v>1381</v>
      </c>
      <c r="C228" s="1" t="s">
        <v>1612</v>
      </c>
      <c r="D228" s="1"/>
      <c r="E228" s="1"/>
      <c r="F228" s="1" t="s">
        <v>2153</v>
      </c>
      <c r="G228" s="1" t="s">
        <v>2154</v>
      </c>
      <c r="H228" s="1" t="s">
        <v>1402</v>
      </c>
      <c r="I228" s="1"/>
      <c r="J228" s="1" t="s">
        <v>2161</v>
      </c>
      <c r="K228" s="1" t="s">
        <v>1701</v>
      </c>
      <c r="L228" s="1" t="s">
        <v>2154</v>
      </c>
      <c r="M228" s="1" t="s">
        <v>93</v>
      </c>
      <c r="N228" s="1" t="s">
        <v>93</v>
      </c>
      <c r="O228" s="1" t="s">
        <v>1402</v>
      </c>
      <c r="P228" s="1"/>
      <c r="Q228" s="1"/>
    </row>
    <row r="229" spans="1:17" ht="43.5" x14ac:dyDescent="0.35">
      <c r="A229" s="1" t="s">
        <v>1447</v>
      </c>
      <c r="B229" s="1" t="s">
        <v>1381</v>
      </c>
      <c r="C229" s="1" t="s">
        <v>1625</v>
      </c>
      <c r="D229" s="1" t="s">
        <v>1642</v>
      </c>
      <c r="E229" s="1" t="s">
        <v>1643</v>
      </c>
      <c r="F229" s="1" t="s">
        <v>97</v>
      </c>
      <c r="G229" s="1"/>
      <c r="H229" s="1" t="s">
        <v>1402</v>
      </c>
      <c r="I229" s="1"/>
      <c r="J229" s="1" t="s">
        <v>2161</v>
      </c>
      <c r="K229" s="1" t="s">
        <v>1703</v>
      </c>
      <c r="L229" s="1" t="s">
        <v>2154</v>
      </c>
      <c r="M229" s="1" t="s">
        <v>93</v>
      </c>
      <c r="N229" s="1" t="s">
        <v>93</v>
      </c>
      <c r="O229" s="1" t="s">
        <v>1402</v>
      </c>
      <c r="P229" s="1"/>
      <c r="Q229" s="1"/>
    </row>
    <row r="230" spans="1:17" ht="43.5" x14ac:dyDescent="0.35">
      <c r="A230" s="1" t="s">
        <v>1447</v>
      </c>
      <c r="B230" s="1" t="s">
        <v>1381</v>
      </c>
      <c r="C230" s="1" t="s">
        <v>1650</v>
      </c>
      <c r="D230" s="1" t="s">
        <v>1648</v>
      </c>
      <c r="E230" s="1" t="s">
        <v>1649</v>
      </c>
      <c r="F230" s="1" t="s">
        <v>97</v>
      </c>
      <c r="G230" s="1"/>
      <c r="H230" s="1" t="s">
        <v>1402</v>
      </c>
      <c r="I230" s="1"/>
      <c r="J230" s="1"/>
      <c r="K230" s="1"/>
      <c r="L230" s="1"/>
      <c r="M230" s="1"/>
      <c r="N230" s="1"/>
      <c r="O230" s="1"/>
      <c r="P230" s="1"/>
      <c r="Q230" s="1"/>
    </row>
    <row r="231" spans="1:17" ht="43.5" x14ac:dyDescent="0.35">
      <c r="A231" s="1" t="s">
        <v>1447</v>
      </c>
      <c r="B231" s="1" t="s">
        <v>1381</v>
      </c>
      <c r="C231" s="1" t="s">
        <v>1671</v>
      </c>
      <c r="D231" s="1"/>
      <c r="E231" s="1"/>
      <c r="F231" s="1" t="s">
        <v>2153</v>
      </c>
      <c r="G231" s="1" t="s">
        <v>2154</v>
      </c>
      <c r="H231" s="1" t="s">
        <v>1402</v>
      </c>
      <c r="I231" s="1"/>
      <c r="J231" s="1"/>
      <c r="K231" s="1"/>
      <c r="L231" s="1"/>
      <c r="M231" s="1"/>
      <c r="N231" s="1"/>
      <c r="O231" s="1"/>
      <c r="P231" s="1"/>
      <c r="Q231" s="1"/>
    </row>
    <row r="232" spans="1:17" ht="43.5" x14ac:dyDescent="0.35">
      <c r="A232" s="1" t="s">
        <v>1447</v>
      </c>
      <c r="B232" s="1" t="s">
        <v>1381</v>
      </c>
      <c r="C232" s="1" t="s">
        <v>1676</v>
      </c>
      <c r="D232" s="1"/>
      <c r="E232" s="1"/>
      <c r="F232" s="1" t="s">
        <v>2153</v>
      </c>
      <c r="G232" s="1" t="s">
        <v>2154</v>
      </c>
      <c r="H232" s="1" t="s">
        <v>1402</v>
      </c>
      <c r="I232" s="1"/>
      <c r="J232" s="1"/>
      <c r="K232" s="1"/>
      <c r="L232" s="1"/>
      <c r="M232" s="1"/>
      <c r="N232" s="1"/>
      <c r="O232" s="1"/>
      <c r="P232" s="1"/>
      <c r="Q232" s="1"/>
    </row>
    <row r="233" spans="1:17" ht="43.5" x14ac:dyDescent="0.35">
      <c r="A233" s="1" t="s">
        <v>1447</v>
      </c>
      <c r="B233" s="1" t="s">
        <v>1381</v>
      </c>
      <c r="C233" s="1" t="s">
        <v>1681</v>
      </c>
      <c r="D233" s="1"/>
      <c r="E233" s="1"/>
      <c r="F233" s="1" t="s">
        <v>2153</v>
      </c>
      <c r="G233" s="1" t="s">
        <v>2154</v>
      </c>
      <c r="H233" s="1" t="s">
        <v>1402</v>
      </c>
      <c r="I233" s="1"/>
      <c r="J233" s="1"/>
      <c r="K233" s="1"/>
      <c r="L233" s="1"/>
      <c r="M233" s="1"/>
      <c r="N233" s="1"/>
      <c r="O233" s="1"/>
      <c r="P233" s="1"/>
      <c r="Q233" s="1"/>
    </row>
    <row r="234" spans="1:17" ht="43.5" x14ac:dyDescent="0.35">
      <c r="A234" s="1" t="s">
        <v>1447</v>
      </c>
      <c r="B234" s="1" t="s">
        <v>1381</v>
      </c>
      <c r="C234" s="1" t="s">
        <v>95</v>
      </c>
      <c r="D234" s="1"/>
      <c r="E234" s="1"/>
      <c r="F234" s="1" t="s">
        <v>2153</v>
      </c>
      <c r="G234" s="1" t="s">
        <v>2154</v>
      </c>
      <c r="H234" s="1" t="s">
        <v>1402</v>
      </c>
      <c r="I234" s="1"/>
      <c r="J234" s="1"/>
      <c r="K234" s="1"/>
      <c r="L234" s="1"/>
      <c r="M234" s="1"/>
      <c r="N234" s="1"/>
      <c r="O234" s="1"/>
      <c r="P234" s="1"/>
      <c r="Q234" s="1"/>
    </row>
    <row r="235" spans="1:17" ht="43.5" x14ac:dyDescent="0.35">
      <c r="A235" s="1" t="s">
        <v>1447</v>
      </c>
      <c r="B235" s="1" t="s">
        <v>1381</v>
      </c>
      <c r="C235" s="1" t="s">
        <v>96</v>
      </c>
      <c r="D235" s="1"/>
      <c r="E235" s="1"/>
      <c r="F235" s="1" t="s">
        <v>2153</v>
      </c>
      <c r="G235" s="1" t="s">
        <v>2154</v>
      </c>
      <c r="H235" s="1" t="s">
        <v>1402</v>
      </c>
      <c r="I235" s="1"/>
      <c r="J235" s="1"/>
      <c r="K235" s="1"/>
      <c r="L235" s="1"/>
      <c r="M235" s="1"/>
      <c r="N235" s="1"/>
      <c r="O235" s="1"/>
      <c r="P235" s="1"/>
      <c r="Q235" s="1"/>
    </row>
    <row r="236" spans="1:17" ht="43.5" x14ac:dyDescent="0.35">
      <c r="A236" s="1" t="s">
        <v>1447</v>
      </c>
      <c r="B236" s="1" t="s">
        <v>1381</v>
      </c>
      <c r="C236" s="1" t="s">
        <v>1701</v>
      </c>
      <c r="D236" s="1"/>
      <c r="E236" s="1"/>
      <c r="F236" s="1" t="s">
        <v>2153</v>
      </c>
      <c r="G236" s="1" t="s">
        <v>2154</v>
      </c>
      <c r="H236" s="1" t="s">
        <v>1402</v>
      </c>
      <c r="I236" s="1"/>
      <c r="J236" s="1"/>
      <c r="K236" s="1"/>
      <c r="L236" s="1"/>
      <c r="M236" s="1"/>
      <c r="N236" s="1"/>
      <c r="O236" s="1"/>
      <c r="P236" s="1"/>
      <c r="Q236" s="1"/>
    </row>
    <row r="237" spans="1:17" ht="43.5" x14ac:dyDescent="0.35">
      <c r="A237" s="1" t="s">
        <v>1447</v>
      </c>
      <c r="B237" s="1" t="s">
        <v>1381</v>
      </c>
      <c r="C237" s="1" t="s">
        <v>1703</v>
      </c>
      <c r="D237" s="1"/>
      <c r="E237" s="1"/>
      <c r="F237" s="1" t="s">
        <v>2153</v>
      </c>
      <c r="G237" s="1" t="s">
        <v>2154</v>
      </c>
      <c r="H237" s="1" t="s">
        <v>1402</v>
      </c>
      <c r="I237" s="1"/>
      <c r="J237" s="1"/>
      <c r="K237" s="1"/>
      <c r="L237" s="1"/>
      <c r="M237" s="1"/>
      <c r="N237" s="1"/>
      <c r="O237" s="1"/>
      <c r="P237" s="1"/>
      <c r="Q237" s="1"/>
    </row>
    <row r="238" spans="1:17" ht="43.5" x14ac:dyDescent="0.35">
      <c r="A238" s="1" t="s">
        <v>2160</v>
      </c>
      <c r="B238" s="1"/>
      <c r="C238" s="1" t="s">
        <v>84</v>
      </c>
      <c r="D238" s="1" t="s">
        <v>1475</v>
      </c>
      <c r="E238" s="1" t="s">
        <v>1476</v>
      </c>
      <c r="F238" s="1" t="s">
        <v>97</v>
      </c>
      <c r="G238" s="1"/>
      <c r="H238" s="1" t="s">
        <v>1358</v>
      </c>
      <c r="I238" s="1"/>
      <c r="J238" s="1"/>
      <c r="K238" s="1"/>
      <c r="L238" s="1"/>
      <c r="M238" s="1"/>
      <c r="N238" s="1"/>
      <c r="O238" s="1"/>
      <c r="P238" s="1"/>
      <c r="Q238" s="1"/>
    </row>
    <row r="239" spans="1:17" ht="43.5" x14ac:dyDescent="0.35">
      <c r="A239" s="1" t="s">
        <v>2160</v>
      </c>
      <c r="B239" s="1"/>
      <c r="C239" s="1" t="s">
        <v>84</v>
      </c>
      <c r="D239" s="1"/>
      <c r="E239" s="1"/>
      <c r="F239" s="1" t="s">
        <v>390</v>
      </c>
      <c r="G239" s="1" t="s">
        <v>624</v>
      </c>
      <c r="H239" s="1" t="s">
        <v>1358</v>
      </c>
      <c r="I239" s="1"/>
      <c r="J239" s="1"/>
      <c r="K239" s="1"/>
      <c r="L239" s="1"/>
      <c r="M239" s="1"/>
      <c r="N239" s="1"/>
      <c r="O239" s="1"/>
      <c r="P239" s="1"/>
      <c r="Q239" s="1"/>
    </row>
    <row r="240" spans="1:17" ht="43.5" x14ac:dyDescent="0.35">
      <c r="A240" s="1" t="s">
        <v>2160</v>
      </c>
      <c r="B240" s="1"/>
      <c r="C240" s="1" t="s">
        <v>87</v>
      </c>
      <c r="D240" s="1" t="s">
        <v>1497</v>
      </c>
      <c r="E240" s="1" t="s">
        <v>1498</v>
      </c>
      <c r="F240" s="1" t="s">
        <v>97</v>
      </c>
      <c r="G240" s="1"/>
      <c r="H240" s="1" t="s">
        <v>1358</v>
      </c>
      <c r="I240" s="1"/>
      <c r="J240" s="1"/>
      <c r="K240" s="1"/>
      <c r="L240" s="1"/>
      <c r="M240" s="1"/>
      <c r="N240" s="1"/>
      <c r="O240" s="1"/>
      <c r="P240" s="1"/>
      <c r="Q240" s="1"/>
    </row>
    <row r="241" spans="1:17" ht="43.5" x14ac:dyDescent="0.35">
      <c r="A241" s="1" t="s">
        <v>2160</v>
      </c>
      <c r="B241" s="1"/>
      <c r="C241" s="1" t="s">
        <v>87</v>
      </c>
      <c r="D241" s="1" t="s">
        <v>1489</v>
      </c>
      <c r="E241" s="1" t="s">
        <v>1490</v>
      </c>
      <c r="F241" s="1" t="s">
        <v>97</v>
      </c>
      <c r="G241" s="1"/>
      <c r="H241" s="1" t="s">
        <v>1358</v>
      </c>
      <c r="I241" s="1"/>
      <c r="J241" s="1"/>
      <c r="K241" s="1"/>
      <c r="L241" s="1"/>
      <c r="M241" s="1"/>
      <c r="N241" s="1"/>
      <c r="O241" s="1"/>
      <c r="P241" s="1"/>
      <c r="Q241" s="1"/>
    </row>
    <row r="242" spans="1:17" ht="43.5" x14ac:dyDescent="0.35">
      <c r="A242" s="1" t="s">
        <v>2160</v>
      </c>
      <c r="B242" s="1"/>
      <c r="C242" s="1" t="s">
        <v>87</v>
      </c>
      <c r="D242" s="1"/>
      <c r="E242" s="1"/>
      <c r="F242" s="1" t="s">
        <v>390</v>
      </c>
      <c r="G242" s="1" t="s">
        <v>625</v>
      </c>
      <c r="H242" s="1" t="s">
        <v>1358</v>
      </c>
      <c r="I242" s="1"/>
      <c r="J242" s="1"/>
      <c r="K242" s="1"/>
      <c r="L242" s="1"/>
      <c r="M242" s="1"/>
      <c r="N242" s="1"/>
      <c r="O242" s="1"/>
      <c r="P242" s="1"/>
      <c r="Q242" s="1"/>
    </row>
    <row r="243" spans="1:17" ht="43.5" x14ac:dyDescent="0.35">
      <c r="A243" s="1" t="s">
        <v>2160</v>
      </c>
      <c r="B243" s="1"/>
      <c r="C243" s="1" t="s">
        <v>86</v>
      </c>
      <c r="D243" s="1" t="s">
        <v>1499</v>
      </c>
      <c r="E243" s="1" t="s">
        <v>1500</v>
      </c>
      <c r="F243" s="1" t="s">
        <v>97</v>
      </c>
      <c r="G243" s="1"/>
      <c r="H243" s="1" t="s">
        <v>1358</v>
      </c>
      <c r="I243" s="1"/>
      <c r="J243" s="1"/>
      <c r="K243" s="1"/>
      <c r="L243" s="1"/>
      <c r="M243" s="1"/>
      <c r="N243" s="1"/>
      <c r="O243" s="1"/>
      <c r="P243" s="1"/>
      <c r="Q243" s="1"/>
    </row>
    <row r="244" spans="1:17" ht="43.5" x14ac:dyDescent="0.35">
      <c r="A244" s="1" t="s">
        <v>2160</v>
      </c>
      <c r="B244" s="1"/>
      <c r="C244" s="1" t="s">
        <v>86</v>
      </c>
      <c r="D244" s="1"/>
      <c r="E244" s="1"/>
      <c r="F244" s="1" t="s">
        <v>390</v>
      </c>
      <c r="G244" s="1" t="s">
        <v>668</v>
      </c>
      <c r="H244" s="1" t="s">
        <v>1358</v>
      </c>
      <c r="I244" s="1"/>
      <c r="J244" s="1"/>
      <c r="K244" s="1"/>
      <c r="L244" s="1"/>
      <c r="M244" s="1"/>
      <c r="N244" s="1"/>
      <c r="O244" s="1"/>
      <c r="P244" s="1"/>
      <c r="Q244" s="1"/>
    </row>
    <row r="245" spans="1:17" ht="43.5" x14ac:dyDescent="0.35">
      <c r="A245" s="1" t="s">
        <v>2160</v>
      </c>
      <c r="B245" s="1"/>
      <c r="C245" s="1" t="s">
        <v>1515</v>
      </c>
      <c r="D245" s="1" t="s">
        <v>1536</v>
      </c>
      <c r="E245" s="1" t="s">
        <v>1537</v>
      </c>
      <c r="F245" s="1" t="s">
        <v>97</v>
      </c>
      <c r="G245" s="1"/>
      <c r="H245" s="1" t="s">
        <v>1358</v>
      </c>
      <c r="I245" s="1"/>
      <c r="J245" s="1"/>
      <c r="K245" s="1"/>
      <c r="L245" s="1"/>
      <c r="M245" s="1"/>
      <c r="N245" s="1"/>
      <c r="O245" s="1"/>
      <c r="P245" s="1"/>
      <c r="Q245" s="1"/>
    </row>
    <row r="246" spans="1:17" ht="43.5" x14ac:dyDescent="0.35">
      <c r="A246" s="1" t="s">
        <v>2160</v>
      </c>
      <c r="B246" s="1"/>
      <c r="C246" s="1" t="s">
        <v>1515</v>
      </c>
      <c r="D246" s="1" t="s">
        <v>1516</v>
      </c>
      <c r="E246" s="1" t="s">
        <v>1517</v>
      </c>
      <c r="F246" s="1" t="s">
        <v>97</v>
      </c>
      <c r="G246" s="1"/>
      <c r="H246" s="1" t="s">
        <v>1358</v>
      </c>
      <c r="I246" s="1"/>
      <c r="J246" s="1"/>
      <c r="K246" s="1"/>
      <c r="L246" s="1"/>
      <c r="M246" s="1"/>
      <c r="N246" s="1"/>
      <c r="O246" s="1"/>
      <c r="P246" s="1"/>
      <c r="Q246" s="1"/>
    </row>
    <row r="247" spans="1:17" ht="43.5" x14ac:dyDescent="0.35">
      <c r="A247" s="1" t="s">
        <v>2160</v>
      </c>
      <c r="B247" s="1"/>
      <c r="C247" s="1" t="s">
        <v>1515</v>
      </c>
      <c r="D247" s="1"/>
      <c r="E247" s="1"/>
      <c r="F247" s="1" t="s">
        <v>390</v>
      </c>
      <c r="G247" s="1" t="s">
        <v>626</v>
      </c>
      <c r="H247" s="1" t="s">
        <v>1358</v>
      </c>
      <c r="I247" s="1"/>
      <c r="J247" s="1"/>
      <c r="K247" s="1"/>
      <c r="L247" s="1"/>
      <c r="M247" s="1"/>
      <c r="N247" s="1"/>
      <c r="O247" s="1"/>
      <c r="P247" s="1"/>
      <c r="Q247" s="1"/>
    </row>
    <row r="248" spans="1:17" ht="43.5" x14ac:dyDescent="0.35">
      <c r="A248" s="1" t="s">
        <v>2160</v>
      </c>
      <c r="B248" s="1"/>
      <c r="C248" s="1" t="s">
        <v>1540</v>
      </c>
      <c r="D248" s="1"/>
      <c r="E248" s="1"/>
      <c r="F248" s="1" t="s">
        <v>2153</v>
      </c>
      <c r="G248" s="1" t="s">
        <v>2154</v>
      </c>
      <c r="H248" s="1" t="s">
        <v>1402</v>
      </c>
      <c r="I248" s="1"/>
      <c r="J248" s="1"/>
      <c r="K248" s="1"/>
      <c r="L248" s="1"/>
      <c r="M248" s="1"/>
      <c r="N248" s="1"/>
      <c r="O248" s="1"/>
      <c r="P248" s="1"/>
      <c r="Q248" s="1"/>
    </row>
    <row r="249" spans="1:17" ht="43.5" x14ac:dyDescent="0.35">
      <c r="A249" s="1" t="s">
        <v>2160</v>
      </c>
      <c r="B249" s="1"/>
      <c r="C249" s="1" t="s">
        <v>1546</v>
      </c>
      <c r="D249" s="1" t="s">
        <v>1561</v>
      </c>
      <c r="E249" s="1" t="s">
        <v>1562</v>
      </c>
      <c r="F249" s="1" t="s">
        <v>97</v>
      </c>
      <c r="G249" s="1"/>
      <c r="H249" s="1" t="s">
        <v>1358</v>
      </c>
      <c r="I249" s="1"/>
      <c r="J249" s="1"/>
      <c r="K249" s="1"/>
      <c r="L249" s="1"/>
      <c r="M249" s="1"/>
      <c r="N249" s="1"/>
      <c r="O249" s="1"/>
      <c r="P249" s="1"/>
      <c r="Q249" s="1"/>
    </row>
    <row r="250" spans="1:17" ht="43.5" x14ac:dyDescent="0.35">
      <c r="A250" s="1" t="s">
        <v>2160</v>
      </c>
      <c r="B250" s="1"/>
      <c r="C250" s="1" t="s">
        <v>1546</v>
      </c>
      <c r="D250" s="1" t="s">
        <v>1563</v>
      </c>
      <c r="E250" s="1" t="s">
        <v>1564</v>
      </c>
      <c r="F250" s="1" t="s">
        <v>97</v>
      </c>
      <c r="G250" s="1"/>
      <c r="H250" s="1" t="s">
        <v>1358</v>
      </c>
      <c r="I250" s="1"/>
      <c r="J250" s="1"/>
      <c r="K250" s="1"/>
      <c r="L250" s="1"/>
      <c r="M250" s="1"/>
      <c r="N250" s="1"/>
      <c r="O250" s="1"/>
      <c r="P250" s="1"/>
      <c r="Q250" s="1"/>
    </row>
    <row r="251" spans="1:17" ht="43.5" x14ac:dyDescent="0.35">
      <c r="A251" s="1" t="s">
        <v>2160</v>
      </c>
      <c r="B251" s="1"/>
      <c r="C251" s="1" t="s">
        <v>1546</v>
      </c>
      <c r="D251" s="1"/>
      <c r="E251" s="1"/>
      <c r="F251" s="1" t="s">
        <v>2155</v>
      </c>
      <c r="G251" s="1" t="s">
        <v>627</v>
      </c>
      <c r="H251" s="1" t="s">
        <v>1358</v>
      </c>
      <c r="I251" s="1"/>
      <c r="J251" s="1"/>
      <c r="K251" s="1"/>
      <c r="L251" s="1"/>
      <c r="M251" s="1"/>
      <c r="N251" s="1"/>
      <c r="O251" s="1"/>
      <c r="P251" s="1"/>
      <c r="Q251" s="1"/>
    </row>
    <row r="252" spans="1:17" ht="43.5" x14ac:dyDescent="0.35">
      <c r="A252" s="1" t="s">
        <v>2160</v>
      </c>
      <c r="B252" s="1"/>
      <c r="C252" s="1" t="s">
        <v>1567</v>
      </c>
      <c r="D252" s="1"/>
      <c r="E252" s="1"/>
      <c r="F252" s="1" t="s">
        <v>2153</v>
      </c>
      <c r="G252" s="1" t="s">
        <v>2154</v>
      </c>
      <c r="H252" s="1" t="s">
        <v>1402</v>
      </c>
      <c r="I252" s="1"/>
      <c r="J252" s="1"/>
      <c r="K252" s="1"/>
      <c r="L252" s="1"/>
      <c r="M252" s="1"/>
      <c r="N252" s="1"/>
      <c r="O252" s="1"/>
      <c r="P252" s="1"/>
      <c r="Q252" s="1"/>
    </row>
    <row r="253" spans="1:17" ht="43.5" x14ac:dyDescent="0.35">
      <c r="A253" s="1" t="s">
        <v>2160</v>
      </c>
      <c r="B253" s="1"/>
      <c r="C253" s="1" t="s">
        <v>1580</v>
      </c>
      <c r="D253" s="1" t="s">
        <v>1581</v>
      </c>
      <c r="E253" s="1" t="s">
        <v>1582</v>
      </c>
      <c r="F253" s="1" t="s">
        <v>97</v>
      </c>
      <c r="G253" s="1"/>
      <c r="H253" s="1" t="s">
        <v>1358</v>
      </c>
      <c r="I253" s="1"/>
      <c r="J253" s="1"/>
      <c r="K253" s="1"/>
      <c r="L253" s="1"/>
      <c r="M253" s="1"/>
      <c r="N253" s="1"/>
      <c r="O253" s="1"/>
      <c r="P253" s="1"/>
      <c r="Q253" s="1"/>
    </row>
    <row r="254" spans="1:17" ht="43.5" x14ac:dyDescent="0.35">
      <c r="A254" s="1" t="s">
        <v>2160</v>
      </c>
      <c r="B254" s="1"/>
      <c r="C254" s="1" t="s">
        <v>1580</v>
      </c>
      <c r="D254" s="1"/>
      <c r="E254" s="1"/>
      <c r="F254" s="1" t="s">
        <v>390</v>
      </c>
      <c r="G254" s="1" t="s">
        <v>628</v>
      </c>
      <c r="H254" s="1" t="s">
        <v>1358</v>
      </c>
      <c r="I254" s="1"/>
      <c r="J254" s="1"/>
      <c r="K254" s="1"/>
      <c r="L254" s="1"/>
      <c r="M254" s="1"/>
      <c r="N254" s="1"/>
      <c r="O254" s="1"/>
      <c r="P254" s="1"/>
      <c r="Q254" s="1"/>
    </row>
    <row r="255" spans="1:17" ht="43.5" x14ac:dyDescent="0.35">
      <c r="A255" s="1" t="s">
        <v>2160</v>
      </c>
      <c r="B255" s="1"/>
      <c r="C255" s="1" t="s">
        <v>1597</v>
      </c>
      <c r="D255" s="1"/>
      <c r="E255" s="1"/>
      <c r="F255" s="1" t="s">
        <v>2153</v>
      </c>
      <c r="G255" s="1" t="s">
        <v>2154</v>
      </c>
      <c r="H255" s="1" t="s">
        <v>1402</v>
      </c>
      <c r="I255" s="1"/>
      <c r="J255" s="1"/>
      <c r="K255" s="1"/>
      <c r="L255" s="1"/>
      <c r="M255" s="1"/>
      <c r="N255" s="1"/>
      <c r="O255" s="1"/>
      <c r="P255" s="1"/>
      <c r="Q255" s="1"/>
    </row>
    <row r="256" spans="1:17" ht="43.5" x14ac:dyDescent="0.35">
      <c r="A256" s="1" t="s">
        <v>2160</v>
      </c>
      <c r="B256" s="1"/>
      <c r="C256" s="1" t="s">
        <v>1612</v>
      </c>
      <c r="D256" s="1" t="s">
        <v>1621</v>
      </c>
      <c r="E256" s="1" t="s">
        <v>1622</v>
      </c>
      <c r="F256" s="1" t="s">
        <v>97</v>
      </c>
      <c r="G256" s="1"/>
      <c r="H256" s="1" t="s">
        <v>1402</v>
      </c>
      <c r="I256" s="1"/>
      <c r="J256" s="1"/>
      <c r="K256" s="1"/>
      <c r="L256" s="1"/>
      <c r="M256" s="1"/>
      <c r="N256" s="1"/>
      <c r="O256" s="1"/>
      <c r="P256" s="1"/>
      <c r="Q256" s="1"/>
    </row>
    <row r="257" spans="1:17" ht="43.5" x14ac:dyDescent="0.35">
      <c r="A257" s="1" t="s">
        <v>2160</v>
      </c>
      <c r="B257" s="1"/>
      <c r="C257" s="1" t="s">
        <v>1625</v>
      </c>
      <c r="D257" s="1" t="s">
        <v>1644</v>
      </c>
      <c r="E257" s="1" t="s">
        <v>1645</v>
      </c>
      <c r="F257" s="1" t="s">
        <v>97</v>
      </c>
      <c r="G257" s="1"/>
      <c r="H257" s="1" t="s">
        <v>1358</v>
      </c>
      <c r="I257" s="1"/>
      <c r="J257" s="1"/>
      <c r="K257" s="1"/>
      <c r="L257" s="1"/>
      <c r="M257" s="1"/>
      <c r="N257" s="1"/>
      <c r="O257" s="1"/>
      <c r="P257" s="1"/>
      <c r="Q257" s="1"/>
    </row>
    <row r="258" spans="1:17" ht="43.5" x14ac:dyDescent="0.35">
      <c r="A258" s="1" t="s">
        <v>2160</v>
      </c>
      <c r="B258" s="1"/>
      <c r="C258" s="1" t="s">
        <v>1625</v>
      </c>
      <c r="D258" s="1" t="s">
        <v>1626</v>
      </c>
      <c r="E258" s="1" t="s">
        <v>1627</v>
      </c>
      <c r="F258" s="1" t="s">
        <v>97</v>
      </c>
      <c r="G258" s="1"/>
      <c r="H258" s="1" t="s">
        <v>1358</v>
      </c>
      <c r="I258" s="1"/>
      <c r="J258" s="1"/>
      <c r="K258" s="1"/>
      <c r="L258" s="1"/>
      <c r="M258" s="1"/>
      <c r="N258" s="1"/>
      <c r="O258" s="1"/>
      <c r="P258" s="1"/>
      <c r="Q258" s="1"/>
    </row>
    <row r="259" spans="1:17" ht="43.5" x14ac:dyDescent="0.35">
      <c r="A259" s="1" t="s">
        <v>2160</v>
      </c>
      <c r="B259" s="1"/>
      <c r="C259" s="1" t="s">
        <v>1625</v>
      </c>
      <c r="D259" s="1"/>
      <c r="E259" s="1"/>
      <c r="F259" s="1" t="s">
        <v>2157</v>
      </c>
      <c r="G259" s="1" t="s">
        <v>630</v>
      </c>
      <c r="H259" s="1" t="s">
        <v>1358</v>
      </c>
      <c r="I259" s="1"/>
      <c r="J259" s="1"/>
      <c r="K259" s="1"/>
      <c r="L259" s="1"/>
      <c r="M259" s="1"/>
      <c r="N259" s="1"/>
      <c r="O259" s="1"/>
      <c r="P259" s="1"/>
      <c r="Q259" s="1"/>
    </row>
    <row r="260" spans="1:17" ht="43.5" x14ac:dyDescent="0.35">
      <c r="A260" s="1" t="s">
        <v>2160</v>
      </c>
      <c r="B260" s="1"/>
      <c r="C260" s="1" t="s">
        <v>1650</v>
      </c>
      <c r="D260" s="1" t="s">
        <v>1653</v>
      </c>
      <c r="E260" s="1" t="s">
        <v>1654</v>
      </c>
      <c r="F260" s="1" t="s">
        <v>97</v>
      </c>
      <c r="G260" s="1"/>
      <c r="H260" s="1" t="s">
        <v>1402</v>
      </c>
      <c r="I260" s="1"/>
      <c r="J260" s="1"/>
      <c r="K260" s="1"/>
      <c r="L260" s="1"/>
      <c r="M260" s="1"/>
      <c r="N260" s="1"/>
      <c r="O260" s="1"/>
      <c r="P260" s="1"/>
      <c r="Q260" s="1"/>
    </row>
    <row r="261" spans="1:17" ht="43.5" x14ac:dyDescent="0.35">
      <c r="A261" s="1" t="s">
        <v>2160</v>
      </c>
      <c r="B261" s="1"/>
      <c r="C261" s="1" t="s">
        <v>1671</v>
      </c>
      <c r="D261" s="1"/>
      <c r="E261" s="1"/>
      <c r="F261" s="1" t="s">
        <v>2157</v>
      </c>
      <c r="G261" s="1" t="s">
        <v>632</v>
      </c>
      <c r="H261" s="1" t="s">
        <v>1358</v>
      </c>
      <c r="I261" s="1"/>
      <c r="J261" s="1"/>
      <c r="K261" s="1"/>
      <c r="L261" s="1"/>
      <c r="M261" s="1"/>
      <c r="N261" s="1"/>
      <c r="O261" s="1"/>
      <c r="P261" s="1"/>
      <c r="Q261" s="1"/>
    </row>
    <row r="262" spans="1:17" ht="43.5" x14ac:dyDescent="0.35">
      <c r="A262" s="1" t="s">
        <v>2160</v>
      </c>
      <c r="B262" s="1"/>
      <c r="C262" s="1" t="s">
        <v>1676</v>
      </c>
      <c r="D262" s="1"/>
      <c r="E262" s="1"/>
      <c r="F262" s="1" t="s">
        <v>2153</v>
      </c>
      <c r="G262" s="1" t="s">
        <v>2154</v>
      </c>
      <c r="H262" s="1" t="s">
        <v>1402</v>
      </c>
      <c r="I262" s="1"/>
      <c r="J262" s="1"/>
      <c r="K262" s="1"/>
      <c r="L262" s="1"/>
      <c r="M262" s="1"/>
      <c r="N262" s="1"/>
      <c r="O262" s="1"/>
      <c r="P262" s="1"/>
      <c r="Q262" s="1"/>
    </row>
    <row r="263" spans="1:17" ht="43.5" x14ac:dyDescent="0.35">
      <c r="A263" s="1" t="s">
        <v>2160</v>
      </c>
      <c r="B263" s="1"/>
      <c r="C263" s="1" t="s">
        <v>1681</v>
      </c>
      <c r="D263" s="1"/>
      <c r="E263" s="1"/>
      <c r="F263" s="1" t="s">
        <v>2153</v>
      </c>
      <c r="G263" s="1" t="s">
        <v>2154</v>
      </c>
      <c r="H263" s="1" t="s">
        <v>1402</v>
      </c>
      <c r="I263" s="1"/>
      <c r="J263" s="1"/>
      <c r="K263" s="1"/>
      <c r="L263" s="1"/>
      <c r="M263" s="1"/>
      <c r="N263" s="1"/>
      <c r="O263" s="1"/>
      <c r="P263" s="1"/>
      <c r="Q263" s="1"/>
    </row>
    <row r="264" spans="1:17" ht="43.5" x14ac:dyDescent="0.35">
      <c r="A264" s="1" t="s">
        <v>2160</v>
      </c>
      <c r="B264" s="1"/>
      <c r="C264" s="1" t="s">
        <v>95</v>
      </c>
      <c r="D264" s="1"/>
      <c r="E264" s="1"/>
      <c r="F264" s="1" t="s">
        <v>2153</v>
      </c>
      <c r="G264" s="1" t="s">
        <v>2154</v>
      </c>
      <c r="H264" s="1" t="s">
        <v>1402</v>
      </c>
      <c r="I264" s="1"/>
      <c r="J264" s="1"/>
      <c r="K264" s="1"/>
      <c r="L264" s="1"/>
      <c r="M264" s="1"/>
      <c r="N264" s="1"/>
      <c r="O264" s="1"/>
      <c r="P264" s="1"/>
      <c r="Q264" s="1"/>
    </row>
    <row r="265" spans="1:17" ht="43.5" x14ac:dyDescent="0.35">
      <c r="A265" s="1" t="s">
        <v>2160</v>
      </c>
      <c r="B265" s="1"/>
      <c r="C265" s="1" t="s">
        <v>96</v>
      </c>
      <c r="D265" s="1"/>
      <c r="E265" s="1"/>
      <c r="F265" s="1" t="s">
        <v>2153</v>
      </c>
      <c r="G265" s="1" t="s">
        <v>2154</v>
      </c>
      <c r="H265" s="1" t="s">
        <v>1402</v>
      </c>
      <c r="I265" s="1"/>
      <c r="J265" s="1"/>
      <c r="K265" s="1"/>
      <c r="L265" s="1"/>
      <c r="M265" s="1"/>
      <c r="N265" s="1"/>
      <c r="O265" s="1"/>
      <c r="P265" s="1"/>
      <c r="Q265" s="1"/>
    </row>
    <row r="266" spans="1:17" ht="43.5" x14ac:dyDescent="0.35">
      <c r="A266" s="1" t="s">
        <v>2160</v>
      </c>
      <c r="B266" s="1"/>
      <c r="C266" s="1" t="s">
        <v>1701</v>
      </c>
      <c r="D266" s="1"/>
      <c r="E266" s="1"/>
      <c r="F266" s="1" t="s">
        <v>2153</v>
      </c>
      <c r="G266" s="1" t="s">
        <v>2154</v>
      </c>
      <c r="H266" s="1" t="s">
        <v>1402</v>
      </c>
      <c r="I266" s="1"/>
      <c r="J266" s="1"/>
      <c r="K266" s="1"/>
      <c r="L266" s="1"/>
      <c r="M266" s="1"/>
      <c r="N266" s="1"/>
      <c r="O266" s="1"/>
      <c r="P266" s="1"/>
      <c r="Q266" s="1"/>
    </row>
    <row r="267" spans="1:17" ht="43.5" x14ac:dyDescent="0.35">
      <c r="A267" s="1" t="s">
        <v>2160</v>
      </c>
      <c r="B267" s="1"/>
      <c r="C267" s="1" t="s">
        <v>1703</v>
      </c>
      <c r="D267" s="1"/>
      <c r="E267" s="1"/>
      <c r="F267" s="1" t="s">
        <v>2153</v>
      </c>
      <c r="G267" s="1" t="s">
        <v>2154</v>
      </c>
      <c r="H267" s="1" t="s">
        <v>1402</v>
      </c>
      <c r="I267" s="1"/>
      <c r="J267" s="1"/>
      <c r="K267" s="1"/>
      <c r="L267" s="1"/>
      <c r="M267" s="1"/>
      <c r="N267" s="1"/>
      <c r="O267" s="1"/>
      <c r="P267" s="1"/>
      <c r="Q267" s="1"/>
    </row>
    <row r="268" spans="1:17" ht="29" x14ac:dyDescent="0.35">
      <c r="A268" s="1" t="s">
        <v>1130</v>
      </c>
      <c r="B268" s="1" t="s">
        <v>1130</v>
      </c>
      <c r="C268" s="1" t="s">
        <v>84</v>
      </c>
      <c r="D268" s="1" t="s">
        <v>1451</v>
      </c>
      <c r="E268" s="1" t="s">
        <v>1452</v>
      </c>
      <c r="F268" s="1" t="s">
        <v>97</v>
      </c>
      <c r="G268" s="1"/>
      <c r="H268" s="1" t="s">
        <v>1358</v>
      </c>
      <c r="I268" s="1"/>
      <c r="J268" s="1"/>
      <c r="K268" s="1"/>
      <c r="L268" s="1"/>
      <c r="M268" s="1"/>
      <c r="N268" s="1"/>
      <c r="O268" s="1"/>
      <c r="P268" s="1"/>
      <c r="Q268" s="1"/>
    </row>
    <row r="269" spans="1:17" ht="43.5" x14ac:dyDescent="0.35">
      <c r="A269" s="1" t="s">
        <v>1130</v>
      </c>
      <c r="B269" s="1" t="s">
        <v>1130</v>
      </c>
      <c r="C269" s="1" t="s">
        <v>84</v>
      </c>
      <c r="D269" s="1"/>
      <c r="E269" s="1"/>
      <c r="F269" s="1" t="s">
        <v>2155</v>
      </c>
      <c r="G269" s="1" t="s">
        <v>635</v>
      </c>
      <c r="H269" s="1" t="s">
        <v>1358</v>
      </c>
      <c r="I269" s="1"/>
      <c r="J269" s="1"/>
      <c r="K269" s="1"/>
      <c r="L269" s="1"/>
      <c r="M269" s="1"/>
      <c r="N269" s="1"/>
      <c r="O269" s="1"/>
      <c r="P269" s="1"/>
      <c r="Q269" s="1"/>
    </row>
    <row r="270" spans="1:17" ht="29" x14ac:dyDescent="0.35">
      <c r="A270" s="1" t="s">
        <v>1130</v>
      </c>
      <c r="B270" s="1" t="s">
        <v>1130</v>
      </c>
      <c r="C270" s="1" t="s">
        <v>87</v>
      </c>
      <c r="D270" s="1"/>
      <c r="E270" s="1"/>
      <c r="F270" s="1" t="s">
        <v>2153</v>
      </c>
      <c r="G270" s="1" t="s">
        <v>2154</v>
      </c>
      <c r="H270" s="1" t="s">
        <v>1402</v>
      </c>
      <c r="I270" s="1"/>
      <c r="J270" s="1"/>
      <c r="K270" s="1"/>
      <c r="L270" s="1"/>
      <c r="M270" s="1"/>
      <c r="N270" s="1"/>
      <c r="O270" s="1"/>
      <c r="P270" s="1"/>
      <c r="Q270" s="1"/>
    </row>
    <row r="271" spans="1:17" ht="29" x14ac:dyDescent="0.35">
      <c r="A271" s="1" t="s">
        <v>1130</v>
      </c>
      <c r="B271" s="1" t="s">
        <v>1130</v>
      </c>
      <c r="C271" s="1" t="s">
        <v>86</v>
      </c>
      <c r="D271" s="1" t="s">
        <v>1499</v>
      </c>
      <c r="E271" s="1" t="s">
        <v>1500</v>
      </c>
      <c r="F271" s="1" t="s">
        <v>97</v>
      </c>
      <c r="G271" s="1"/>
      <c r="H271" s="1" t="s">
        <v>1358</v>
      </c>
      <c r="I271" s="1"/>
      <c r="J271" s="1"/>
      <c r="K271" s="1"/>
      <c r="L271" s="1"/>
      <c r="M271" s="1"/>
      <c r="N271" s="1"/>
      <c r="O271" s="1"/>
      <c r="P271" s="1"/>
      <c r="Q271" s="1"/>
    </row>
    <row r="272" spans="1:17" ht="29" x14ac:dyDescent="0.35">
      <c r="A272" s="1" t="s">
        <v>1130</v>
      </c>
      <c r="B272" s="1" t="s">
        <v>1130</v>
      </c>
      <c r="C272" s="1" t="s">
        <v>86</v>
      </c>
      <c r="D272" s="1"/>
      <c r="E272" s="1"/>
      <c r="F272" s="1" t="s">
        <v>2157</v>
      </c>
      <c r="G272" s="1" t="s">
        <v>669</v>
      </c>
      <c r="H272" s="1" t="s">
        <v>1358</v>
      </c>
      <c r="I272" s="1"/>
      <c r="J272" s="1"/>
      <c r="K272" s="1"/>
      <c r="L272" s="1"/>
      <c r="M272" s="1"/>
      <c r="N272" s="1"/>
      <c r="O272" s="1"/>
      <c r="P272" s="1"/>
      <c r="Q272" s="1"/>
    </row>
    <row r="273" spans="1:17" ht="29" x14ac:dyDescent="0.35">
      <c r="A273" s="1" t="s">
        <v>1130</v>
      </c>
      <c r="B273" s="1" t="s">
        <v>1130</v>
      </c>
      <c r="C273" s="1" t="s">
        <v>1515</v>
      </c>
      <c r="D273" s="1" t="s">
        <v>1513</v>
      </c>
      <c r="E273" s="1" t="s">
        <v>1514</v>
      </c>
      <c r="F273" s="1" t="s">
        <v>97</v>
      </c>
      <c r="G273" s="1"/>
      <c r="H273" s="1" t="s">
        <v>1358</v>
      </c>
      <c r="I273" s="1"/>
      <c r="J273" s="1"/>
      <c r="K273" s="1"/>
      <c r="L273" s="1"/>
      <c r="M273" s="1"/>
      <c r="N273" s="1"/>
      <c r="O273" s="1"/>
      <c r="P273" s="1"/>
      <c r="Q273" s="1"/>
    </row>
    <row r="274" spans="1:17" ht="29" x14ac:dyDescent="0.35">
      <c r="A274" s="1" t="s">
        <v>1130</v>
      </c>
      <c r="B274" s="1" t="s">
        <v>1130</v>
      </c>
      <c r="C274" s="1" t="s">
        <v>1515</v>
      </c>
      <c r="D274" s="1"/>
      <c r="E274" s="1"/>
      <c r="F274" s="1" t="s">
        <v>390</v>
      </c>
      <c r="G274" s="1" t="s">
        <v>636</v>
      </c>
      <c r="H274" s="1" t="s">
        <v>1358</v>
      </c>
      <c r="I274" s="1"/>
      <c r="J274" s="1"/>
      <c r="K274" s="1"/>
      <c r="L274" s="1"/>
      <c r="M274" s="1"/>
      <c r="N274" s="1"/>
      <c r="O274" s="1"/>
      <c r="P274" s="1"/>
      <c r="Q274" s="1"/>
    </row>
    <row r="275" spans="1:17" ht="29" x14ac:dyDescent="0.35">
      <c r="A275" s="1" t="s">
        <v>1130</v>
      </c>
      <c r="B275" s="1" t="s">
        <v>1130</v>
      </c>
      <c r="C275" s="1" t="s">
        <v>1540</v>
      </c>
      <c r="D275" s="1"/>
      <c r="E275" s="1"/>
      <c r="F275" s="1" t="s">
        <v>2153</v>
      </c>
      <c r="G275" s="1" t="s">
        <v>2154</v>
      </c>
      <c r="H275" s="1" t="s">
        <v>1402</v>
      </c>
      <c r="I275" s="1"/>
      <c r="J275" s="1"/>
      <c r="K275" s="1"/>
      <c r="L275" s="1"/>
      <c r="M275" s="1"/>
      <c r="N275" s="1"/>
      <c r="O275" s="1"/>
      <c r="P275" s="1"/>
      <c r="Q275" s="1"/>
    </row>
    <row r="276" spans="1:17" ht="29" x14ac:dyDescent="0.35">
      <c r="A276" s="1" t="s">
        <v>1130</v>
      </c>
      <c r="B276" s="1" t="s">
        <v>1130</v>
      </c>
      <c r="C276" s="1" t="s">
        <v>1546</v>
      </c>
      <c r="D276" s="1"/>
      <c r="E276" s="1"/>
      <c r="F276" s="1" t="s">
        <v>2153</v>
      </c>
      <c r="G276" s="1" t="s">
        <v>2154</v>
      </c>
      <c r="H276" s="1" t="s">
        <v>1402</v>
      </c>
      <c r="I276" s="1"/>
      <c r="J276" s="1"/>
      <c r="K276" s="1"/>
      <c r="L276" s="1"/>
      <c r="M276" s="1"/>
      <c r="N276" s="1"/>
      <c r="O276" s="1"/>
      <c r="P276" s="1"/>
      <c r="Q276" s="1"/>
    </row>
    <row r="277" spans="1:17" ht="29" x14ac:dyDescent="0.35">
      <c r="A277" s="1" t="s">
        <v>1130</v>
      </c>
      <c r="B277" s="1" t="s">
        <v>1130</v>
      </c>
      <c r="C277" s="1" t="s">
        <v>1567</v>
      </c>
      <c r="D277" s="1"/>
      <c r="E277" s="1"/>
      <c r="F277" s="1" t="s">
        <v>2153</v>
      </c>
      <c r="G277" s="1" t="s">
        <v>2154</v>
      </c>
      <c r="H277" s="1" t="s">
        <v>1402</v>
      </c>
      <c r="I277" s="1"/>
      <c r="J277" s="1"/>
      <c r="K277" s="1"/>
      <c r="L277" s="1"/>
      <c r="M277" s="1"/>
      <c r="N277" s="1"/>
      <c r="O277" s="1"/>
      <c r="P277" s="1"/>
      <c r="Q277" s="1"/>
    </row>
    <row r="278" spans="1:17" ht="29" x14ac:dyDescent="0.35">
      <c r="A278" s="1" t="s">
        <v>1130</v>
      </c>
      <c r="B278" s="1" t="s">
        <v>1130</v>
      </c>
      <c r="C278" s="1" t="s">
        <v>1580</v>
      </c>
      <c r="D278" s="1"/>
      <c r="E278" s="1"/>
      <c r="F278" s="1" t="s">
        <v>2153</v>
      </c>
      <c r="G278" s="1" t="s">
        <v>2154</v>
      </c>
      <c r="H278" s="1" t="s">
        <v>1402</v>
      </c>
      <c r="I278" s="1"/>
      <c r="J278" s="1"/>
      <c r="K278" s="1"/>
      <c r="L278" s="1"/>
      <c r="M278" s="1"/>
      <c r="N278" s="1"/>
      <c r="O278" s="1"/>
      <c r="P278" s="1"/>
      <c r="Q278" s="1"/>
    </row>
    <row r="279" spans="1:17" ht="29" x14ac:dyDescent="0.35">
      <c r="A279" s="1" t="s">
        <v>1130</v>
      </c>
      <c r="B279" s="1" t="s">
        <v>1130</v>
      </c>
      <c r="C279" s="1" t="s">
        <v>1597</v>
      </c>
      <c r="D279" s="1"/>
      <c r="E279" s="1"/>
      <c r="F279" s="1" t="s">
        <v>2153</v>
      </c>
      <c r="G279" s="1" t="s">
        <v>2154</v>
      </c>
      <c r="H279" s="1" t="s">
        <v>1402</v>
      </c>
      <c r="I279" s="1"/>
      <c r="J279" s="1"/>
      <c r="K279" s="1"/>
      <c r="L279" s="1"/>
      <c r="M279" s="1"/>
      <c r="N279" s="1"/>
      <c r="O279" s="1"/>
      <c r="P279" s="1"/>
      <c r="Q279" s="1"/>
    </row>
    <row r="280" spans="1:17" ht="29" x14ac:dyDescent="0.35">
      <c r="A280" s="1" t="s">
        <v>1130</v>
      </c>
      <c r="B280" s="1" t="s">
        <v>1130</v>
      </c>
      <c r="C280" s="1" t="s">
        <v>1612</v>
      </c>
      <c r="D280" s="1"/>
      <c r="E280" s="1"/>
      <c r="F280" s="1" t="s">
        <v>2153</v>
      </c>
      <c r="G280" s="1" t="s">
        <v>2154</v>
      </c>
      <c r="H280" s="1" t="s">
        <v>1402</v>
      </c>
      <c r="I280" s="1"/>
      <c r="J280" s="1"/>
      <c r="K280" s="1"/>
      <c r="L280" s="1"/>
      <c r="M280" s="1"/>
      <c r="N280" s="1"/>
      <c r="O280" s="1"/>
      <c r="P280" s="1"/>
      <c r="Q280" s="1"/>
    </row>
    <row r="281" spans="1:17" ht="29" x14ac:dyDescent="0.35">
      <c r="A281" s="1" t="s">
        <v>1130</v>
      </c>
      <c r="B281" s="1" t="s">
        <v>1130</v>
      </c>
      <c r="C281" s="1" t="s">
        <v>1625</v>
      </c>
      <c r="D281" s="1"/>
      <c r="E281" s="1"/>
      <c r="F281" s="1" t="s">
        <v>390</v>
      </c>
      <c r="G281" s="1" t="s">
        <v>637</v>
      </c>
      <c r="H281" s="1" t="s">
        <v>1358</v>
      </c>
      <c r="I281" s="1"/>
      <c r="J281" s="1"/>
      <c r="K281" s="1"/>
      <c r="L281" s="1"/>
      <c r="M281" s="1"/>
      <c r="N281" s="1"/>
      <c r="O281" s="1"/>
      <c r="P281" s="1"/>
      <c r="Q281" s="1"/>
    </row>
    <row r="282" spans="1:17" ht="29" x14ac:dyDescent="0.35">
      <c r="A282" s="1" t="s">
        <v>1130</v>
      </c>
      <c r="B282" s="1" t="s">
        <v>1130</v>
      </c>
      <c r="C282" s="1" t="s">
        <v>1650</v>
      </c>
      <c r="D282" s="1"/>
      <c r="E282" s="1"/>
      <c r="F282" s="1" t="s">
        <v>2153</v>
      </c>
      <c r="G282" s="1" t="s">
        <v>2154</v>
      </c>
      <c r="H282" s="1" t="s">
        <v>1402</v>
      </c>
      <c r="I282" s="1"/>
      <c r="J282" s="1"/>
      <c r="K282" s="1"/>
      <c r="L282" s="1"/>
      <c r="M282" s="1"/>
      <c r="N282" s="1"/>
      <c r="O282" s="1"/>
      <c r="P282" s="1"/>
      <c r="Q282" s="1"/>
    </row>
    <row r="283" spans="1:17" ht="29" x14ac:dyDescent="0.35">
      <c r="A283" s="1" t="s">
        <v>1130</v>
      </c>
      <c r="B283" s="1" t="s">
        <v>1130</v>
      </c>
      <c r="C283" s="1" t="s">
        <v>1671</v>
      </c>
      <c r="D283" s="1"/>
      <c r="E283" s="1"/>
      <c r="F283" s="1" t="s">
        <v>2153</v>
      </c>
      <c r="G283" s="1" t="s">
        <v>2154</v>
      </c>
      <c r="H283" s="1" t="s">
        <v>1402</v>
      </c>
      <c r="I283" s="1"/>
      <c r="J283" s="1"/>
      <c r="K283" s="1"/>
      <c r="L283" s="1"/>
      <c r="M283" s="1"/>
      <c r="N283" s="1"/>
      <c r="O283" s="1"/>
      <c r="P283" s="1"/>
      <c r="Q283" s="1"/>
    </row>
    <row r="284" spans="1:17" ht="29" x14ac:dyDescent="0.35">
      <c r="A284" s="1" t="s">
        <v>1130</v>
      </c>
      <c r="B284" s="1" t="s">
        <v>1130</v>
      </c>
      <c r="C284" s="1" t="s">
        <v>1676</v>
      </c>
      <c r="D284" s="1"/>
      <c r="E284" s="1"/>
      <c r="F284" s="1" t="s">
        <v>2153</v>
      </c>
      <c r="G284" s="1" t="s">
        <v>2154</v>
      </c>
      <c r="H284" s="1" t="s">
        <v>1402</v>
      </c>
      <c r="I284" s="1"/>
      <c r="J284" s="1"/>
      <c r="K284" s="1"/>
      <c r="L284" s="1"/>
      <c r="M284" s="1"/>
      <c r="N284" s="1"/>
      <c r="O284" s="1"/>
      <c r="P284" s="1"/>
      <c r="Q284" s="1"/>
    </row>
    <row r="285" spans="1:17" ht="29" x14ac:dyDescent="0.35">
      <c r="A285" s="1" t="s">
        <v>1130</v>
      </c>
      <c r="B285" s="1" t="s">
        <v>1130</v>
      </c>
      <c r="C285" s="1" t="s">
        <v>1681</v>
      </c>
      <c r="D285" s="1"/>
      <c r="E285" s="1"/>
      <c r="F285" s="1" t="s">
        <v>2153</v>
      </c>
      <c r="G285" s="1" t="s">
        <v>2154</v>
      </c>
      <c r="H285" s="1" t="s">
        <v>1402</v>
      </c>
      <c r="I285" s="1"/>
      <c r="J285" s="1"/>
      <c r="K285" s="1"/>
      <c r="L285" s="1"/>
      <c r="M285" s="1"/>
      <c r="N285" s="1"/>
      <c r="O285" s="1"/>
      <c r="P285" s="1"/>
      <c r="Q285" s="1"/>
    </row>
    <row r="286" spans="1:17" ht="29" x14ac:dyDescent="0.35">
      <c r="A286" s="1" t="s">
        <v>1130</v>
      </c>
      <c r="B286" s="1" t="s">
        <v>1130</v>
      </c>
      <c r="C286" s="1" t="s">
        <v>95</v>
      </c>
      <c r="D286" s="1"/>
      <c r="E286" s="1"/>
      <c r="F286" s="1" t="s">
        <v>390</v>
      </c>
      <c r="G286" s="1" t="s">
        <v>638</v>
      </c>
      <c r="H286" s="1" t="s">
        <v>1358</v>
      </c>
      <c r="I286" s="1"/>
      <c r="J286" s="1"/>
      <c r="K286" s="1"/>
      <c r="L286" s="1"/>
      <c r="M286" s="1"/>
      <c r="N286" s="1"/>
      <c r="O286" s="1"/>
      <c r="P286" s="1"/>
      <c r="Q286" s="1"/>
    </row>
    <row r="287" spans="1:17" ht="29" x14ac:dyDescent="0.35">
      <c r="A287" s="1" t="s">
        <v>1130</v>
      </c>
      <c r="B287" s="1" t="s">
        <v>1130</v>
      </c>
      <c r="C287" s="1" t="s">
        <v>96</v>
      </c>
      <c r="D287" s="1"/>
      <c r="E287" s="1"/>
      <c r="F287" s="1" t="s">
        <v>2153</v>
      </c>
      <c r="G287" s="1" t="s">
        <v>2154</v>
      </c>
      <c r="H287" s="1" t="s">
        <v>1402</v>
      </c>
      <c r="I287" s="1"/>
      <c r="J287" s="1"/>
      <c r="K287" s="1"/>
      <c r="L287" s="1"/>
      <c r="M287" s="1"/>
      <c r="N287" s="1"/>
      <c r="O287" s="1"/>
      <c r="P287" s="1"/>
      <c r="Q287" s="1"/>
    </row>
    <row r="288" spans="1:17" ht="29" x14ac:dyDescent="0.35">
      <c r="A288" s="1" t="s">
        <v>1130</v>
      </c>
      <c r="B288" s="1" t="s">
        <v>1130</v>
      </c>
      <c r="C288" s="1" t="s">
        <v>1701</v>
      </c>
      <c r="D288" s="1"/>
      <c r="E288" s="1"/>
      <c r="F288" s="1" t="s">
        <v>2153</v>
      </c>
      <c r="G288" s="1" t="s">
        <v>2154</v>
      </c>
      <c r="H288" s="1" t="s">
        <v>1402</v>
      </c>
      <c r="I288" s="1"/>
      <c r="J288" s="1"/>
      <c r="K288" s="1"/>
      <c r="L288" s="1"/>
      <c r="M288" s="1"/>
      <c r="N288" s="1"/>
      <c r="O288" s="1"/>
      <c r="P288" s="1"/>
      <c r="Q288" s="1"/>
    </row>
    <row r="289" spans="1:17" ht="29" x14ac:dyDescent="0.35">
      <c r="A289" s="1" t="s">
        <v>1130</v>
      </c>
      <c r="B289" s="1" t="s">
        <v>1130</v>
      </c>
      <c r="C289" s="1" t="s">
        <v>1703</v>
      </c>
      <c r="D289" s="1"/>
      <c r="E289" s="1"/>
      <c r="F289" s="1" t="s">
        <v>2153</v>
      </c>
      <c r="G289" s="1" t="s">
        <v>2154</v>
      </c>
      <c r="H289" s="1" t="s">
        <v>1402</v>
      </c>
      <c r="I289" s="1"/>
      <c r="J289" s="1"/>
      <c r="K289" s="1"/>
      <c r="L289" s="1"/>
      <c r="M289" s="1"/>
      <c r="N289" s="1"/>
      <c r="O289" s="1"/>
      <c r="P289" s="1"/>
      <c r="Q289" s="1"/>
    </row>
    <row r="290" spans="1:17" ht="43.5" x14ac:dyDescent="0.35">
      <c r="A290" s="1" t="s">
        <v>2161</v>
      </c>
      <c r="B290" s="1" t="s">
        <v>1512</v>
      </c>
      <c r="C290" s="1" t="s">
        <v>84</v>
      </c>
      <c r="D290" s="1"/>
      <c r="E290" s="1"/>
      <c r="F290" s="1" t="s">
        <v>2155</v>
      </c>
      <c r="G290" s="1" t="s">
        <v>641</v>
      </c>
      <c r="H290" s="1" t="s">
        <v>1358</v>
      </c>
      <c r="I290" s="1"/>
      <c r="J290" s="1"/>
      <c r="K290" s="1"/>
      <c r="L290" s="1"/>
      <c r="M290" s="1"/>
      <c r="N290" s="1"/>
      <c r="O290" s="1"/>
      <c r="P290" s="1"/>
      <c r="Q290" s="1"/>
    </row>
    <row r="291" spans="1:17" ht="43.5" x14ac:dyDescent="0.35">
      <c r="A291" s="1" t="s">
        <v>2161</v>
      </c>
      <c r="B291" s="1" t="s">
        <v>1512</v>
      </c>
      <c r="C291" s="1" t="s">
        <v>87</v>
      </c>
      <c r="D291" s="1"/>
      <c r="E291" s="1"/>
      <c r="F291" s="1" t="s">
        <v>2153</v>
      </c>
      <c r="G291" s="1" t="s">
        <v>2154</v>
      </c>
      <c r="H291" s="1" t="s">
        <v>1402</v>
      </c>
      <c r="I291" s="1"/>
      <c r="J291" s="1"/>
      <c r="K291" s="1"/>
      <c r="L291" s="1"/>
      <c r="M291" s="1"/>
      <c r="N291" s="1"/>
      <c r="O291" s="1"/>
      <c r="P291" s="1"/>
      <c r="Q291" s="1"/>
    </row>
    <row r="292" spans="1:17" ht="43.5" x14ac:dyDescent="0.35">
      <c r="A292" s="1" t="s">
        <v>2161</v>
      </c>
      <c r="B292" s="1" t="s">
        <v>1512</v>
      </c>
      <c r="C292" s="1" t="s">
        <v>86</v>
      </c>
      <c r="D292" s="1" t="s">
        <v>1499</v>
      </c>
      <c r="E292" s="1" t="s">
        <v>1500</v>
      </c>
      <c r="F292" s="1" t="s">
        <v>97</v>
      </c>
      <c r="G292" s="1"/>
      <c r="H292" s="1" t="s">
        <v>1358</v>
      </c>
      <c r="I292" s="1"/>
      <c r="J292" s="1"/>
      <c r="K292" s="1"/>
      <c r="L292" s="1"/>
      <c r="M292" s="1"/>
      <c r="N292" s="1"/>
      <c r="O292" s="1"/>
      <c r="P292" s="1"/>
      <c r="Q292" s="1"/>
    </row>
    <row r="293" spans="1:17" ht="43.5" x14ac:dyDescent="0.35">
      <c r="A293" s="1" t="s">
        <v>2161</v>
      </c>
      <c r="B293" s="1" t="s">
        <v>1512</v>
      </c>
      <c r="C293" s="1" t="s">
        <v>86</v>
      </c>
      <c r="D293" s="1" t="s">
        <v>1509</v>
      </c>
      <c r="E293" s="1" t="s">
        <v>1510</v>
      </c>
      <c r="F293" s="1" t="s">
        <v>97</v>
      </c>
      <c r="G293" s="1"/>
      <c r="H293" s="1" t="s">
        <v>1358</v>
      </c>
      <c r="I293" s="1"/>
      <c r="J293" s="1"/>
      <c r="K293" s="1"/>
      <c r="L293" s="1"/>
      <c r="M293" s="1"/>
      <c r="N293" s="1"/>
      <c r="O293" s="1"/>
      <c r="P293" s="1"/>
      <c r="Q293" s="1"/>
    </row>
    <row r="294" spans="1:17" ht="43.5" x14ac:dyDescent="0.35">
      <c r="A294" s="1" t="s">
        <v>2161</v>
      </c>
      <c r="B294" s="1" t="s">
        <v>1512</v>
      </c>
      <c r="C294" s="1" t="s">
        <v>86</v>
      </c>
      <c r="D294" s="1"/>
      <c r="E294" s="1"/>
      <c r="F294" s="1" t="s">
        <v>2157</v>
      </c>
      <c r="G294" s="1" t="s">
        <v>670</v>
      </c>
      <c r="H294" s="1" t="s">
        <v>1358</v>
      </c>
      <c r="I294" s="1"/>
      <c r="J294" s="1"/>
      <c r="K294" s="1"/>
      <c r="L294" s="1"/>
      <c r="M294" s="1"/>
      <c r="N294" s="1"/>
      <c r="O294" s="1"/>
      <c r="P294" s="1"/>
      <c r="Q294" s="1"/>
    </row>
    <row r="295" spans="1:17" ht="43.5" x14ac:dyDescent="0.35">
      <c r="A295" s="1" t="s">
        <v>2161</v>
      </c>
      <c r="B295" s="1" t="s">
        <v>1512</v>
      </c>
      <c r="C295" s="1" t="s">
        <v>1515</v>
      </c>
      <c r="D295" s="1" t="s">
        <v>1528</v>
      </c>
      <c r="E295" s="1" t="s">
        <v>1529</v>
      </c>
      <c r="F295" s="1" t="s">
        <v>97</v>
      </c>
      <c r="G295" s="1"/>
      <c r="H295" s="1" t="s">
        <v>1358</v>
      </c>
      <c r="I295" s="1"/>
      <c r="J295" s="1"/>
      <c r="K295" s="1"/>
      <c r="L295" s="1"/>
      <c r="M295" s="1"/>
      <c r="N295" s="1"/>
      <c r="O295" s="1"/>
      <c r="P295" s="1"/>
      <c r="Q295" s="1"/>
    </row>
    <row r="296" spans="1:17" ht="43.5" x14ac:dyDescent="0.35">
      <c r="A296" s="1" t="s">
        <v>2161</v>
      </c>
      <c r="B296" s="1" t="s">
        <v>1512</v>
      </c>
      <c r="C296" s="1" t="s">
        <v>1515</v>
      </c>
      <c r="D296" s="1"/>
      <c r="E296" s="1"/>
      <c r="F296" s="1" t="s">
        <v>2157</v>
      </c>
      <c r="G296" s="1" t="s">
        <v>642</v>
      </c>
      <c r="H296" s="1" t="s">
        <v>1358</v>
      </c>
      <c r="I296" s="1"/>
      <c r="J296" s="1"/>
      <c r="K296" s="1"/>
      <c r="L296" s="1"/>
      <c r="M296" s="1"/>
      <c r="N296" s="1"/>
      <c r="O296" s="1"/>
      <c r="P296" s="1"/>
      <c r="Q296" s="1"/>
    </row>
    <row r="297" spans="1:17" ht="43.5" x14ac:dyDescent="0.35">
      <c r="A297" s="1" t="s">
        <v>2161</v>
      </c>
      <c r="B297" s="1" t="s">
        <v>1512</v>
      </c>
      <c r="C297" s="1" t="s">
        <v>1540</v>
      </c>
      <c r="D297" s="1"/>
      <c r="E297" s="1"/>
      <c r="F297" s="1" t="s">
        <v>2153</v>
      </c>
      <c r="G297" s="1" t="s">
        <v>2154</v>
      </c>
      <c r="H297" s="1" t="s">
        <v>1402</v>
      </c>
      <c r="I297" s="1"/>
      <c r="J297" s="1"/>
      <c r="K297" s="1"/>
      <c r="L297" s="1"/>
      <c r="M297" s="1"/>
      <c r="N297" s="1"/>
      <c r="O297" s="1"/>
      <c r="P297" s="1"/>
      <c r="Q297" s="1"/>
    </row>
    <row r="298" spans="1:17" ht="43.5" x14ac:dyDescent="0.35">
      <c r="A298" s="1" t="s">
        <v>2161</v>
      </c>
      <c r="B298" s="1" t="s">
        <v>1512</v>
      </c>
      <c r="C298" s="1" t="s">
        <v>1546</v>
      </c>
      <c r="D298" s="1"/>
      <c r="E298" s="1"/>
      <c r="F298" s="1" t="s">
        <v>2157</v>
      </c>
      <c r="G298" s="1" t="s">
        <v>643</v>
      </c>
      <c r="H298" s="1" t="s">
        <v>1358</v>
      </c>
      <c r="I298" s="1"/>
      <c r="J298" s="1"/>
      <c r="K298" s="1"/>
      <c r="L298" s="1"/>
      <c r="M298" s="1"/>
      <c r="N298" s="1"/>
      <c r="O298" s="1"/>
      <c r="P298" s="1"/>
      <c r="Q298" s="1"/>
    </row>
    <row r="299" spans="1:17" ht="43.5" x14ac:dyDescent="0.35">
      <c r="A299" s="1" t="s">
        <v>2161</v>
      </c>
      <c r="B299" s="1" t="s">
        <v>1512</v>
      </c>
      <c r="C299" s="1" t="s">
        <v>1567</v>
      </c>
      <c r="D299" s="1"/>
      <c r="E299" s="1"/>
      <c r="F299" s="1" t="s">
        <v>2153</v>
      </c>
      <c r="G299" s="1" t="s">
        <v>2154</v>
      </c>
      <c r="H299" s="1" t="s">
        <v>1402</v>
      </c>
      <c r="I299" s="1"/>
      <c r="J299" s="1"/>
      <c r="K299" s="1"/>
      <c r="L299" s="1"/>
      <c r="M299" s="1"/>
      <c r="N299" s="1"/>
      <c r="O299" s="1"/>
      <c r="P299" s="1"/>
      <c r="Q299" s="1"/>
    </row>
    <row r="300" spans="1:17" ht="43.5" x14ac:dyDescent="0.35">
      <c r="A300" s="1" t="s">
        <v>2161</v>
      </c>
      <c r="B300" s="1" t="s">
        <v>1512</v>
      </c>
      <c r="C300" s="1" t="s">
        <v>1580</v>
      </c>
      <c r="D300" s="1"/>
      <c r="E300" s="1"/>
      <c r="F300" s="1" t="s">
        <v>2153</v>
      </c>
      <c r="G300" s="1" t="s">
        <v>2154</v>
      </c>
      <c r="H300" s="1" t="s">
        <v>1402</v>
      </c>
      <c r="I300" s="1"/>
      <c r="J300" s="1"/>
      <c r="K300" s="1"/>
      <c r="L300" s="1"/>
      <c r="M300" s="1"/>
      <c r="N300" s="1"/>
      <c r="O300" s="1"/>
      <c r="P300" s="1"/>
      <c r="Q300" s="1"/>
    </row>
    <row r="301" spans="1:17" ht="43.5" x14ac:dyDescent="0.35">
      <c r="A301" s="1" t="s">
        <v>2161</v>
      </c>
      <c r="B301" s="1" t="s">
        <v>1512</v>
      </c>
      <c r="C301" s="1" t="s">
        <v>1597</v>
      </c>
      <c r="D301" s="1"/>
      <c r="E301" s="1"/>
      <c r="F301" s="1" t="s">
        <v>2153</v>
      </c>
      <c r="G301" s="1" t="s">
        <v>2154</v>
      </c>
      <c r="H301" s="1" t="s">
        <v>1402</v>
      </c>
      <c r="I301" s="1"/>
      <c r="J301" s="1"/>
      <c r="K301" s="1"/>
      <c r="L301" s="1"/>
      <c r="M301" s="1"/>
      <c r="N301" s="1"/>
      <c r="O301" s="1"/>
      <c r="P301" s="1"/>
      <c r="Q301" s="1"/>
    </row>
    <row r="302" spans="1:17" ht="43.5" x14ac:dyDescent="0.35">
      <c r="A302" s="1" t="s">
        <v>2161</v>
      </c>
      <c r="B302" s="1" t="s">
        <v>1512</v>
      </c>
      <c r="C302" s="1" t="s">
        <v>1612</v>
      </c>
      <c r="D302" s="1"/>
      <c r="E302" s="1"/>
      <c r="F302" s="1" t="s">
        <v>2153</v>
      </c>
      <c r="G302" s="1" t="s">
        <v>2154</v>
      </c>
      <c r="H302" s="1" t="s">
        <v>1402</v>
      </c>
      <c r="I302" s="1"/>
      <c r="J302" s="1"/>
      <c r="K302" s="1"/>
      <c r="L302" s="1"/>
      <c r="M302" s="1"/>
      <c r="N302" s="1"/>
      <c r="O302" s="1"/>
      <c r="P302" s="1"/>
      <c r="Q302" s="1"/>
    </row>
    <row r="303" spans="1:17" ht="43.5" x14ac:dyDescent="0.35">
      <c r="A303" s="1" t="s">
        <v>2161</v>
      </c>
      <c r="B303" s="1" t="s">
        <v>1512</v>
      </c>
      <c r="C303" s="1" t="s">
        <v>1625</v>
      </c>
      <c r="D303" s="1" t="s">
        <v>1646</v>
      </c>
      <c r="E303" s="1" t="s">
        <v>1647</v>
      </c>
      <c r="F303" s="1" t="s">
        <v>97</v>
      </c>
      <c r="G303" s="1"/>
      <c r="H303" s="1" t="s">
        <v>1402</v>
      </c>
      <c r="I303" s="1"/>
      <c r="J303" s="1"/>
      <c r="K303" s="1"/>
      <c r="L303" s="1"/>
      <c r="M303" s="1"/>
      <c r="N303" s="1"/>
      <c r="O303" s="1"/>
      <c r="P303" s="1"/>
      <c r="Q303" s="1"/>
    </row>
    <row r="304" spans="1:17" ht="43.5" x14ac:dyDescent="0.35">
      <c r="A304" s="1" t="s">
        <v>2161</v>
      </c>
      <c r="B304" s="1" t="s">
        <v>1512</v>
      </c>
      <c r="C304" s="1" t="s">
        <v>1650</v>
      </c>
      <c r="D304" s="1" t="s">
        <v>1667</v>
      </c>
      <c r="E304" s="1" t="s">
        <v>1668</v>
      </c>
      <c r="F304" s="1" t="s">
        <v>97</v>
      </c>
      <c r="G304" s="1"/>
      <c r="H304" s="1" t="s">
        <v>1402</v>
      </c>
      <c r="I304" s="1"/>
      <c r="J304" s="1"/>
      <c r="K304" s="1"/>
      <c r="L304" s="1"/>
      <c r="M304" s="1"/>
      <c r="N304" s="1"/>
      <c r="O304" s="1"/>
      <c r="P304" s="1"/>
      <c r="Q304" s="1"/>
    </row>
    <row r="305" spans="1:17" ht="43.5" x14ac:dyDescent="0.35">
      <c r="A305" s="1" t="s">
        <v>2161</v>
      </c>
      <c r="B305" s="1" t="s">
        <v>1512</v>
      </c>
      <c r="C305" s="1" t="s">
        <v>1671</v>
      </c>
      <c r="D305" s="1"/>
      <c r="E305" s="1"/>
      <c r="F305" s="1" t="s">
        <v>2153</v>
      </c>
      <c r="G305" s="1" t="s">
        <v>2154</v>
      </c>
      <c r="H305" s="1" t="s">
        <v>1402</v>
      </c>
      <c r="I305" s="1"/>
      <c r="J305" s="1"/>
      <c r="K305" s="1"/>
      <c r="L305" s="1"/>
      <c r="M305" s="1"/>
      <c r="N305" s="1"/>
      <c r="O305" s="1"/>
      <c r="P305" s="1"/>
      <c r="Q305" s="1"/>
    </row>
    <row r="306" spans="1:17" ht="43.5" x14ac:dyDescent="0.35">
      <c r="A306" s="1" t="s">
        <v>2161</v>
      </c>
      <c r="B306" s="1" t="s">
        <v>1512</v>
      </c>
      <c r="C306" s="1" t="s">
        <v>1676</v>
      </c>
      <c r="D306" s="1"/>
      <c r="E306" s="1"/>
      <c r="F306" s="1" t="s">
        <v>2153</v>
      </c>
      <c r="G306" s="1" t="s">
        <v>2154</v>
      </c>
      <c r="H306" s="1" t="s">
        <v>1402</v>
      </c>
      <c r="I306" s="1"/>
      <c r="J306" s="1"/>
      <c r="K306" s="1"/>
      <c r="L306" s="1"/>
      <c r="M306" s="1"/>
      <c r="N306" s="1"/>
      <c r="O306" s="1"/>
      <c r="P306" s="1"/>
      <c r="Q306" s="1"/>
    </row>
    <row r="307" spans="1:17" ht="43.5" x14ac:dyDescent="0.35">
      <c r="A307" s="1" t="s">
        <v>2161</v>
      </c>
      <c r="B307" s="1" t="s">
        <v>1512</v>
      </c>
      <c r="C307" s="1" t="s">
        <v>1681</v>
      </c>
      <c r="D307" s="1"/>
      <c r="E307" s="1"/>
      <c r="F307" s="1" t="s">
        <v>2153</v>
      </c>
      <c r="G307" s="1" t="s">
        <v>2154</v>
      </c>
      <c r="H307" s="1" t="s">
        <v>1402</v>
      </c>
      <c r="I307" s="1"/>
      <c r="J307" s="1"/>
      <c r="K307" s="1"/>
      <c r="L307" s="1"/>
      <c r="M307" s="1"/>
      <c r="N307" s="1"/>
      <c r="O307" s="1"/>
      <c r="P307" s="1"/>
      <c r="Q307" s="1"/>
    </row>
    <row r="308" spans="1:17" ht="43.5" x14ac:dyDescent="0.35">
      <c r="A308" s="1" t="s">
        <v>2161</v>
      </c>
      <c r="B308" s="1" t="s">
        <v>1512</v>
      </c>
      <c r="C308" s="1" t="s">
        <v>95</v>
      </c>
      <c r="D308" s="1"/>
      <c r="E308" s="1"/>
      <c r="F308" s="1" t="s">
        <v>390</v>
      </c>
      <c r="G308" s="1" t="s">
        <v>646</v>
      </c>
      <c r="H308" s="1" t="s">
        <v>1358</v>
      </c>
      <c r="I308" s="1"/>
      <c r="J308" s="1"/>
      <c r="K308" s="1"/>
      <c r="L308" s="1"/>
      <c r="M308" s="1"/>
      <c r="N308" s="1"/>
      <c r="O308" s="1"/>
      <c r="P308" s="1"/>
      <c r="Q308" s="1"/>
    </row>
    <row r="309" spans="1:17" ht="43.5" x14ac:dyDescent="0.35">
      <c r="A309" s="1" t="s">
        <v>2161</v>
      </c>
      <c r="B309" s="1" t="s">
        <v>1512</v>
      </c>
      <c r="C309" s="1" t="s">
        <v>96</v>
      </c>
      <c r="D309" s="1"/>
      <c r="E309" s="1"/>
      <c r="F309" s="1" t="s">
        <v>2153</v>
      </c>
      <c r="G309" s="1" t="s">
        <v>2154</v>
      </c>
      <c r="H309" s="1" t="s">
        <v>1402</v>
      </c>
      <c r="I309" s="1"/>
      <c r="J309" s="1"/>
      <c r="K309" s="1"/>
      <c r="L309" s="1"/>
      <c r="M309" s="1"/>
      <c r="N309" s="1"/>
      <c r="O309" s="1"/>
      <c r="P309" s="1"/>
      <c r="Q309" s="1"/>
    </row>
    <row r="310" spans="1:17" ht="43.5" x14ac:dyDescent="0.35">
      <c r="A310" s="1" t="s">
        <v>2161</v>
      </c>
      <c r="B310" s="1" t="s">
        <v>1512</v>
      </c>
      <c r="C310" s="1" t="s">
        <v>1701</v>
      </c>
      <c r="D310" s="1"/>
      <c r="E310" s="1"/>
      <c r="F310" s="1" t="s">
        <v>2153</v>
      </c>
      <c r="G310" s="1" t="s">
        <v>2154</v>
      </c>
      <c r="H310" s="1" t="s">
        <v>1402</v>
      </c>
      <c r="I310" s="1"/>
      <c r="J310" s="1"/>
      <c r="K310" s="1"/>
      <c r="L310" s="1"/>
      <c r="M310" s="1"/>
      <c r="N310" s="1"/>
      <c r="O310" s="1"/>
      <c r="P310" s="1"/>
      <c r="Q310" s="1"/>
    </row>
    <row r="311" spans="1:17" ht="43.5" x14ac:dyDescent="0.35">
      <c r="A311" s="1" t="s">
        <v>2161</v>
      </c>
      <c r="B311" s="1" t="s">
        <v>1512</v>
      </c>
      <c r="C311" s="1" t="s">
        <v>1703</v>
      </c>
      <c r="D311" s="1"/>
      <c r="E311" s="1"/>
      <c r="F311" s="1" t="s">
        <v>2153</v>
      </c>
      <c r="G311" s="1" t="s">
        <v>2154</v>
      </c>
      <c r="H311" s="1" t="s">
        <v>1402</v>
      </c>
      <c r="I311" s="1"/>
      <c r="J311" s="1"/>
      <c r="K311" s="1"/>
      <c r="L311" s="1"/>
      <c r="M311" s="1"/>
      <c r="N311" s="1"/>
      <c r="O311" s="1"/>
      <c r="P311" s="1"/>
      <c r="Q311" s="1"/>
    </row>
  </sheetData>
  <pageMargins left="0.7" right="0.7" top="0.75" bottom="0.75" header="0.3" footer="0.3"/>
  <tableParts count="2">
    <tablePart r:id="rId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B4D54-36C2-4F8C-B518-A17C7255603B}">
  <sheetPr>
    <tabColor rgb="FF555555"/>
  </sheetPr>
  <dimension ref="A1:R26"/>
  <sheetViews>
    <sheetView workbookViewId="0"/>
  </sheetViews>
  <sheetFormatPr baseColWidth="10" defaultRowHeight="14.5" x14ac:dyDescent="0.35"/>
  <cols>
    <col min="1" max="1" width="10.7265625" bestFit="1" customWidth="1"/>
    <col min="3" max="3" width="10.81640625" bestFit="1" customWidth="1"/>
    <col min="4" max="4" width="12.6328125" bestFit="1" customWidth="1"/>
    <col min="5" max="5" width="13.08984375" bestFit="1" customWidth="1"/>
    <col min="7" max="7" width="9.08984375" bestFit="1" customWidth="1"/>
    <col min="8" max="8" width="12.90625" bestFit="1" customWidth="1"/>
    <col min="9" max="9" width="9.81640625" bestFit="1" customWidth="1"/>
    <col min="10" max="10" width="13.08984375" bestFit="1" customWidth="1"/>
    <col min="11" max="11" width="12.26953125" bestFit="1" customWidth="1"/>
    <col min="12" max="12" width="10.81640625" bestFit="1" customWidth="1"/>
    <col min="13" max="13" width="8.7265625" bestFit="1" customWidth="1"/>
    <col min="14" max="14" width="12.81640625" bestFit="1" customWidth="1"/>
    <col min="15" max="15" width="11.453125" bestFit="1" customWidth="1"/>
    <col min="17" max="17" width="10.81640625" bestFit="1" customWidth="1"/>
    <col min="18" max="18" width="9.7265625" bestFit="1" customWidth="1"/>
  </cols>
  <sheetData>
    <row r="1" spans="1:18" ht="43.5" x14ac:dyDescent="0.35">
      <c r="A1" s="81" t="s">
        <v>1208</v>
      </c>
      <c r="B1" s="33" t="s">
        <v>14</v>
      </c>
      <c r="C1" s="33" t="s">
        <v>97</v>
      </c>
      <c r="D1" s="33" t="s">
        <v>1</v>
      </c>
      <c r="E1" s="33" t="s">
        <v>116</v>
      </c>
      <c r="F1" s="33" t="s">
        <v>77</v>
      </c>
      <c r="G1" s="81" t="s">
        <v>1349</v>
      </c>
      <c r="H1" s="81" t="s">
        <v>1350</v>
      </c>
      <c r="I1" s="81" t="s">
        <v>1351</v>
      </c>
      <c r="J1" s="81" t="s">
        <v>1352</v>
      </c>
      <c r="K1" s="81" t="s">
        <v>1353</v>
      </c>
      <c r="L1" s="81" t="s">
        <v>695</v>
      </c>
      <c r="M1" s="81" t="s">
        <v>700</v>
      </c>
      <c r="N1" s="81" t="s">
        <v>2266</v>
      </c>
      <c r="O1" s="81" t="s">
        <v>2267</v>
      </c>
      <c r="P1" s="1"/>
      <c r="Q1" s="1" t="s">
        <v>2091</v>
      </c>
      <c r="R1" s="1" t="s">
        <v>2283</v>
      </c>
    </row>
    <row r="2" spans="1:18" ht="409.5" x14ac:dyDescent="0.35">
      <c r="A2" s="81" t="s">
        <v>1316</v>
      </c>
      <c r="B2" s="33" t="s">
        <v>75</v>
      </c>
      <c r="C2" s="33" t="s">
        <v>200</v>
      </c>
      <c r="D2" s="33" t="s">
        <v>117</v>
      </c>
      <c r="E2" s="33" t="s">
        <v>118</v>
      </c>
      <c r="F2" s="33" t="s">
        <v>78</v>
      </c>
      <c r="G2" s="81" t="s">
        <v>1354</v>
      </c>
      <c r="H2" s="81" t="s">
        <v>1354</v>
      </c>
      <c r="I2" s="81" t="s">
        <v>1354</v>
      </c>
      <c r="J2" s="81" t="s">
        <v>1358</v>
      </c>
      <c r="K2" s="81"/>
      <c r="L2" s="81" t="s">
        <v>1361</v>
      </c>
      <c r="M2" s="81" t="s">
        <v>715</v>
      </c>
      <c r="N2" s="81" t="s">
        <v>2268</v>
      </c>
      <c r="O2" s="81" t="s">
        <v>2271</v>
      </c>
      <c r="P2" s="1"/>
      <c r="Q2" s="1" t="s">
        <v>2097</v>
      </c>
      <c r="R2" s="1" t="s">
        <v>2097</v>
      </c>
    </row>
    <row r="3" spans="1:18" ht="409.5" x14ac:dyDescent="0.35">
      <c r="A3" s="81" t="s">
        <v>1317</v>
      </c>
      <c r="B3" s="33" t="s">
        <v>76</v>
      </c>
      <c r="C3" s="33" t="s">
        <v>201</v>
      </c>
      <c r="D3" s="33" t="s">
        <v>120</v>
      </c>
      <c r="E3" s="33" t="s">
        <v>119</v>
      </c>
      <c r="F3" s="33" t="s">
        <v>79</v>
      </c>
      <c r="G3" s="81" t="s">
        <v>1354</v>
      </c>
      <c r="H3" s="81" t="s">
        <v>1354</v>
      </c>
      <c r="I3" s="81" t="s">
        <v>1354</v>
      </c>
      <c r="J3" s="81" t="s">
        <v>1358</v>
      </c>
      <c r="K3" s="81"/>
      <c r="L3" s="81" t="s">
        <v>1361</v>
      </c>
      <c r="M3" s="81" t="s">
        <v>715</v>
      </c>
      <c r="N3" s="81" t="s">
        <v>2268</v>
      </c>
      <c r="O3" s="81" t="s">
        <v>2271</v>
      </c>
      <c r="P3" s="1"/>
      <c r="Q3" s="1" t="s">
        <v>14</v>
      </c>
      <c r="R3" s="1" t="s">
        <v>2271</v>
      </c>
    </row>
    <row r="4" spans="1:18" ht="290" x14ac:dyDescent="0.35">
      <c r="A4" s="81" t="s">
        <v>1318</v>
      </c>
      <c r="B4" s="33" t="s">
        <v>98</v>
      </c>
      <c r="C4" s="33" t="s">
        <v>121</v>
      </c>
      <c r="D4" s="33" t="s">
        <v>122</v>
      </c>
      <c r="E4" s="33" t="s">
        <v>123</v>
      </c>
      <c r="F4" s="33" t="s">
        <v>124</v>
      </c>
      <c r="G4" s="81" t="s">
        <v>1354</v>
      </c>
      <c r="H4" s="81" t="s">
        <v>1354</v>
      </c>
      <c r="I4" s="81" t="s">
        <v>1354</v>
      </c>
      <c r="J4" s="81" t="s">
        <v>1358</v>
      </c>
      <c r="K4" s="81"/>
      <c r="L4" s="81" t="s">
        <v>1361</v>
      </c>
      <c r="M4" s="81" t="s">
        <v>715</v>
      </c>
      <c r="N4" s="81" t="s">
        <v>2269</v>
      </c>
      <c r="O4" s="81" t="s">
        <v>2272</v>
      </c>
      <c r="P4" s="1"/>
      <c r="Q4" s="1" t="s">
        <v>2268</v>
      </c>
      <c r="R4" s="1" t="s">
        <v>2272</v>
      </c>
    </row>
    <row r="5" spans="1:18" ht="275.5" x14ac:dyDescent="0.35">
      <c r="A5" s="81" t="s">
        <v>1319</v>
      </c>
      <c r="B5" s="33" t="s">
        <v>99</v>
      </c>
      <c r="C5" s="33" t="s">
        <v>125</v>
      </c>
      <c r="D5" s="33" t="s">
        <v>126</v>
      </c>
      <c r="E5" s="33" t="s">
        <v>127</v>
      </c>
      <c r="F5" s="33" t="s">
        <v>128</v>
      </c>
      <c r="G5" s="81" t="s">
        <v>1354</v>
      </c>
      <c r="H5" s="81" t="s">
        <v>1354</v>
      </c>
      <c r="I5" s="81" t="s">
        <v>1354</v>
      </c>
      <c r="J5" s="81" t="s">
        <v>1358</v>
      </c>
      <c r="K5" s="81"/>
      <c r="L5" s="81" t="s">
        <v>1361</v>
      </c>
      <c r="M5" s="81" t="s">
        <v>715</v>
      </c>
      <c r="N5" s="81" t="s">
        <v>2269</v>
      </c>
      <c r="O5" s="81" t="s">
        <v>2272</v>
      </c>
      <c r="P5" s="1"/>
      <c r="Q5" s="1" t="s">
        <v>2269</v>
      </c>
      <c r="R5" s="1" t="s">
        <v>2273</v>
      </c>
    </row>
    <row r="6" spans="1:18" ht="275.5" x14ac:dyDescent="0.35">
      <c r="A6" s="81" t="s">
        <v>1320</v>
      </c>
      <c r="B6" s="33" t="s">
        <v>100</v>
      </c>
      <c r="C6" s="33" t="s">
        <v>85</v>
      </c>
      <c r="D6" s="33" t="s">
        <v>129</v>
      </c>
      <c r="E6" s="33" t="s">
        <v>130</v>
      </c>
      <c r="F6" s="33" t="s">
        <v>131</v>
      </c>
      <c r="G6" s="81" t="s">
        <v>1355</v>
      </c>
      <c r="H6" s="81" t="s">
        <v>85</v>
      </c>
      <c r="I6" s="81" t="s">
        <v>1354</v>
      </c>
      <c r="J6" s="81" t="s">
        <v>1359</v>
      </c>
      <c r="K6" s="81"/>
      <c r="L6" s="81" t="s">
        <v>1362</v>
      </c>
      <c r="M6" s="81" t="s">
        <v>715</v>
      </c>
      <c r="N6" s="81" t="s">
        <v>2268</v>
      </c>
      <c r="O6" s="81" t="s">
        <v>2271</v>
      </c>
      <c r="P6" s="1"/>
      <c r="Q6" s="1" t="s">
        <v>2270</v>
      </c>
      <c r="R6" s="1" t="s">
        <v>2284</v>
      </c>
    </row>
    <row r="7" spans="1:18" ht="275.5" x14ac:dyDescent="0.35">
      <c r="A7" s="81" t="s">
        <v>1321</v>
      </c>
      <c r="B7" s="33" t="s">
        <v>101</v>
      </c>
      <c r="C7" s="33" t="s">
        <v>132</v>
      </c>
      <c r="D7" s="33" t="s">
        <v>133</v>
      </c>
      <c r="E7" s="33" t="s">
        <v>134</v>
      </c>
      <c r="F7" s="33" t="s">
        <v>135</v>
      </c>
      <c r="G7" s="81" t="s">
        <v>1354</v>
      </c>
      <c r="H7" s="81" t="s">
        <v>1354</v>
      </c>
      <c r="I7" s="81" t="s">
        <v>1354</v>
      </c>
      <c r="J7" s="81" t="s">
        <v>1358</v>
      </c>
      <c r="K7" s="81"/>
      <c r="L7" s="81" t="s">
        <v>1361</v>
      </c>
      <c r="M7" s="81" t="s">
        <v>715</v>
      </c>
      <c r="N7" s="81" t="s">
        <v>2269</v>
      </c>
      <c r="O7" s="81" t="s">
        <v>2271</v>
      </c>
      <c r="P7" s="1"/>
      <c r="Q7" s="1"/>
      <c r="R7" s="1"/>
    </row>
    <row r="8" spans="1:18" ht="232" x14ac:dyDescent="0.35">
      <c r="A8" s="81" t="s">
        <v>1322</v>
      </c>
      <c r="B8" s="33" t="s">
        <v>102</v>
      </c>
      <c r="C8" s="33" t="s">
        <v>102</v>
      </c>
      <c r="D8" s="33" t="s">
        <v>136</v>
      </c>
      <c r="E8" s="33" t="s">
        <v>137</v>
      </c>
      <c r="F8" s="33" t="s">
        <v>138</v>
      </c>
      <c r="G8" s="81" t="s">
        <v>1354</v>
      </c>
      <c r="H8" s="81" t="s">
        <v>1354</v>
      </c>
      <c r="I8" s="81" t="s">
        <v>1354</v>
      </c>
      <c r="J8" s="81" t="s">
        <v>1358</v>
      </c>
      <c r="K8" s="81"/>
      <c r="L8" s="81" t="s">
        <v>1361</v>
      </c>
      <c r="M8" s="81" t="s">
        <v>715</v>
      </c>
      <c r="N8" s="81" t="s">
        <v>2270</v>
      </c>
      <c r="O8" s="81" t="s">
        <v>2271</v>
      </c>
      <c r="P8" s="1"/>
      <c r="Q8" s="1"/>
      <c r="R8" s="1"/>
    </row>
    <row r="9" spans="1:18" ht="232" x14ac:dyDescent="0.35">
      <c r="A9" s="81" t="s">
        <v>1323</v>
      </c>
      <c r="B9" s="33" t="s">
        <v>103</v>
      </c>
      <c r="C9" s="33" t="s">
        <v>139</v>
      </c>
      <c r="D9" s="33" t="s">
        <v>140</v>
      </c>
      <c r="E9" s="33" t="s">
        <v>141</v>
      </c>
      <c r="F9" s="33" t="s">
        <v>142</v>
      </c>
      <c r="G9" s="81" t="s">
        <v>1354</v>
      </c>
      <c r="H9" s="81" t="s">
        <v>1354</v>
      </c>
      <c r="I9" s="81" t="s">
        <v>1354</v>
      </c>
      <c r="J9" s="81" t="s">
        <v>1358</v>
      </c>
      <c r="K9" s="81"/>
      <c r="L9" s="81" t="s">
        <v>1361</v>
      </c>
      <c r="M9" s="81" t="s">
        <v>715</v>
      </c>
      <c r="N9" s="81" t="s">
        <v>2269</v>
      </c>
      <c r="O9" s="81" t="s">
        <v>2272</v>
      </c>
      <c r="P9" s="1"/>
      <c r="Q9" s="1"/>
      <c r="R9" s="1"/>
    </row>
    <row r="10" spans="1:18" ht="246.5" x14ac:dyDescent="0.35">
      <c r="A10" s="81" t="s">
        <v>1324</v>
      </c>
      <c r="B10" s="33" t="s">
        <v>104</v>
      </c>
      <c r="C10" s="33" t="s">
        <v>143</v>
      </c>
      <c r="D10" s="33" t="s">
        <v>144</v>
      </c>
      <c r="E10" s="33" t="s">
        <v>145</v>
      </c>
      <c r="F10" s="33" t="s">
        <v>146</v>
      </c>
      <c r="G10" s="81" t="s">
        <v>1354</v>
      </c>
      <c r="H10" s="81" t="s">
        <v>1354</v>
      </c>
      <c r="I10" s="81" t="s">
        <v>1354</v>
      </c>
      <c r="J10" s="81" t="s">
        <v>1358</v>
      </c>
      <c r="K10" s="81"/>
      <c r="L10" s="81" t="s">
        <v>1361</v>
      </c>
      <c r="M10" s="81" t="s">
        <v>715</v>
      </c>
      <c r="N10" s="81" t="s">
        <v>2269</v>
      </c>
      <c r="O10" s="81" t="s">
        <v>2272</v>
      </c>
      <c r="P10" s="1"/>
      <c r="Q10" s="1"/>
      <c r="R10" s="1"/>
    </row>
    <row r="11" spans="1:18" ht="203" x14ac:dyDescent="0.35">
      <c r="A11" s="81" t="s">
        <v>1325</v>
      </c>
      <c r="B11" s="33" t="s">
        <v>105</v>
      </c>
      <c r="C11" s="33" t="s">
        <v>105</v>
      </c>
      <c r="D11" s="33" t="s">
        <v>147</v>
      </c>
      <c r="E11" s="33" t="s">
        <v>148</v>
      </c>
      <c r="F11" s="33" t="s">
        <v>149</v>
      </c>
      <c r="G11" s="81" t="s">
        <v>1354</v>
      </c>
      <c r="H11" s="81" t="s">
        <v>1354</v>
      </c>
      <c r="I11" s="81" t="s">
        <v>1354</v>
      </c>
      <c r="J11" s="81" t="s">
        <v>1358</v>
      </c>
      <c r="K11" s="81"/>
      <c r="L11" s="81" t="s">
        <v>1361</v>
      </c>
      <c r="M11" s="81" t="s">
        <v>715</v>
      </c>
      <c r="N11" s="81" t="s">
        <v>2270</v>
      </c>
      <c r="O11" s="81" t="s">
        <v>2271</v>
      </c>
      <c r="P11" s="1"/>
      <c r="Q11" s="1"/>
      <c r="R11" s="1"/>
    </row>
    <row r="12" spans="1:18" ht="246.5" x14ac:dyDescent="0.35">
      <c r="A12" s="81" t="s">
        <v>1326</v>
      </c>
      <c r="B12" s="33" t="s">
        <v>106</v>
      </c>
      <c r="C12" s="33" t="s">
        <v>106</v>
      </c>
      <c r="D12" s="33" t="s">
        <v>150</v>
      </c>
      <c r="E12" s="33" t="s">
        <v>151</v>
      </c>
      <c r="F12" s="33" t="s">
        <v>152</v>
      </c>
      <c r="G12" s="81" t="s">
        <v>1354</v>
      </c>
      <c r="H12" s="81" t="s">
        <v>1354</v>
      </c>
      <c r="I12" s="81" t="s">
        <v>1354</v>
      </c>
      <c r="J12" s="81" t="s">
        <v>1358</v>
      </c>
      <c r="K12" s="81"/>
      <c r="L12" s="81" t="s">
        <v>1361</v>
      </c>
      <c r="M12" s="81" t="s">
        <v>715</v>
      </c>
      <c r="N12" s="81" t="s">
        <v>2270</v>
      </c>
      <c r="O12" s="81" t="s">
        <v>2272</v>
      </c>
      <c r="P12" s="1"/>
      <c r="Q12" s="1"/>
      <c r="R12" s="1"/>
    </row>
    <row r="13" spans="1:18" ht="203" x14ac:dyDescent="0.35">
      <c r="A13" s="81" t="s">
        <v>1327</v>
      </c>
      <c r="B13" s="33" t="s">
        <v>107</v>
      </c>
      <c r="C13" s="33" t="s">
        <v>132</v>
      </c>
      <c r="D13" s="33" t="s">
        <v>153</v>
      </c>
      <c r="E13" s="33" t="s">
        <v>154</v>
      </c>
      <c r="F13" s="33" t="s">
        <v>155</v>
      </c>
      <c r="G13" s="81" t="s">
        <v>1354</v>
      </c>
      <c r="H13" s="81" t="s">
        <v>1354</v>
      </c>
      <c r="I13" s="81" t="s">
        <v>1354</v>
      </c>
      <c r="J13" s="81" t="s">
        <v>1358</v>
      </c>
      <c r="K13" s="81"/>
      <c r="L13" s="81" t="s">
        <v>1361</v>
      </c>
      <c r="M13" s="81" t="s">
        <v>715</v>
      </c>
      <c r="N13" s="81" t="s">
        <v>2269</v>
      </c>
      <c r="O13" s="81" t="s">
        <v>2271</v>
      </c>
      <c r="P13" s="1"/>
      <c r="Q13" s="1"/>
      <c r="R13" s="1"/>
    </row>
    <row r="14" spans="1:18" ht="246.5" x14ac:dyDescent="0.35">
      <c r="A14" s="81" t="s">
        <v>1328</v>
      </c>
      <c r="B14" s="33" t="s">
        <v>1069</v>
      </c>
      <c r="C14" s="33" t="s">
        <v>28</v>
      </c>
      <c r="D14" s="33" t="s">
        <v>156</v>
      </c>
      <c r="E14" s="33" t="s">
        <v>157</v>
      </c>
      <c r="F14" s="33" t="s">
        <v>158</v>
      </c>
      <c r="G14" s="81" t="s">
        <v>1354</v>
      </c>
      <c r="H14" s="81" t="s">
        <v>28</v>
      </c>
      <c r="I14" s="81" t="s">
        <v>1357</v>
      </c>
      <c r="J14" s="81" t="s">
        <v>1360</v>
      </c>
      <c r="K14" s="81"/>
      <c r="L14" s="81" t="s">
        <v>1363</v>
      </c>
      <c r="M14" s="81" t="s">
        <v>715</v>
      </c>
      <c r="N14" s="81" t="s">
        <v>14</v>
      </c>
      <c r="O14" s="81" t="s">
        <v>2273</v>
      </c>
      <c r="P14" s="1"/>
      <c r="Q14" s="1"/>
      <c r="R14" s="1"/>
    </row>
    <row r="15" spans="1:18" ht="188.5" x14ac:dyDescent="0.35">
      <c r="A15" s="81" t="s">
        <v>1329</v>
      </c>
      <c r="B15" s="33" t="s">
        <v>108</v>
      </c>
      <c r="C15" s="33" t="s">
        <v>91</v>
      </c>
      <c r="D15" s="33" t="s">
        <v>159</v>
      </c>
      <c r="E15" s="33" t="s">
        <v>160</v>
      </c>
      <c r="F15" s="33" t="s">
        <v>161</v>
      </c>
      <c r="G15" s="81" t="s">
        <v>1354</v>
      </c>
      <c r="H15" s="81" t="s">
        <v>1354</v>
      </c>
      <c r="I15" s="81" t="s">
        <v>1354</v>
      </c>
      <c r="J15" s="81" t="s">
        <v>1358</v>
      </c>
      <c r="K15" s="81"/>
      <c r="L15" s="81" t="s">
        <v>1361</v>
      </c>
      <c r="M15" s="81" t="s">
        <v>715</v>
      </c>
      <c r="N15" s="81" t="s">
        <v>2269</v>
      </c>
      <c r="O15" s="81" t="s">
        <v>2272</v>
      </c>
      <c r="P15" s="1"/>
      <c r="Q15" s="1"/>
      <c r="R15" s="1"/>
    </row>
    <row r="16" spans="1:18" ht="275.5" x14ac:dyDescent="0.35">
      <c r="A16" s="81" t="s">
        <v>1330</v>
      </c>
      <c r="B16" s="33" t="s">
        <v>109</v>
      </c>
      <c r="C16" s="33" t="s">
        <v>162</v>
      </c>
      <c r="D16" s="33" t="s">
        <v>163</v>
      </c>
      <c r="E16" s="33" t="s">
        <v>164</v>
      </c>
      <c r="F16" s="33" t="s">
        <v>165</v>
      </c>
      <c r="G16" s="81" t="s">
        <v>1354</v>
      </c>
      <c r="H16" s="81" t="s">
        <v>1354</v>
      </c>
      <c r="I16" s="81" t="s">
        <v>1354</v>
      </c>
      <c r="J16" s="81" t="s">
        <v>1358</v>
      </c>
      <c r="K16" s="81"/>
      <c r="L16" s="81" t="s">
        <v>1361</v>
      </c>
      <c r="M16" s="81" t="s">
        <v>715</v>
      </c>
      <c r="N16" s="81" t="s">
        <v>2269</v>
      </c>
      <c r="O16" s="81" t="s">
        <v>2272</v>
      </c>
      <c r="P16" s="1"/>
      <c r="Q16" s="1"/>
      <c r="R16" s="1"/>
    </row>
    <row r="17" spans="1:18" ht="275.5" x14ac:dyDescent="0.35">
      <c r="A17" s="81" t="s">
        <v>1331</v>
      </c>
      <c r="B17" s="33" t="s">
        <v>110</v>
      </c>
      <c r="C17" s="33" t="s">
        <v>166</v>
      </c>
      <c r="D17" s="33" t="s">
        <v>167</v>
      </c>
      <c r="E17" s="33" t="s">
        <v>168</v>
      </c>
      <c r="F17" s="33" t="s">
        <v>169</v>
      </c>
      <c r="G17" s="81" t="s">
        <v>1354</v>
      </c>
      <c r="H17" s="81" t="s">
        <v>1354</v>
      </c>
      <c r="I17" s="81" t="s">
        <v>1354</v>
      </c>
      <c r="J17" s="81" t="s">
        <v>1358</v>
      </c>
      <c r="K17" s="81"/>
      <c r="L17" s="81" t="s">
        <v>1361</v>
      </c>
      <c r="M17" s="81" t="s">
        <v>715</v>
      </c>
      <c r="N17" s="81" t="s">
        <v>2269</v>
      </c>
      <c r="O17" s="81" t="s">
        <v>2272</v>
      </c>
      <c r="P17" s="1"/>
      <c r="Q17" s="1"/>
      <c r="R17" s="1"/>
    </row>
    <row r="18" spans="1:18" ht="232" x14ac:dyDescent="0.35">
      <c r="A18" s="81" t="s">
        <v>1332</v>
      </c>
      <c r="B18" s="33" t="s">
        <v>111</v>
      </c>
      <c r="C18" s="33" t="s">
        <v>91</v>
      </c>
      <c r="D18" s="33" t="s">
        <v>170</v>
      </c>
      <c r="E18" s="33" t="s">
        <v>171</v>
      </c>
      <c r="F18" s="33" t="s">
        <v>172</v>
      </c>
      <c r="G18" s="81" t="s">
        <v>1354</v>
      </c>
      <c r="H18" s="81" t="s">
        <v>1354</v>
      </c>
      <c r="I18" s="81" t="s">
        <v>1354</v>
      </c>
      <c r="J18" s="81" t="s">
        <v>1358</v>
      </c>
      <c r="K18" s="81"/>
      <c r="L18" s="81" t="s">
        <v>1361</v>
      </c>
      <c r="M18" s="81" t="s">
        <v>715</v>
      </c>
      <c r="N18" s="81" t="s">
        <v>2269</v>
      </c>
      <c r="O18" s="81" t="s">
        <v>2272</v>
      </c>
      <c r="P18" s="1"/>
      <c r="Q18" s="1"/>
      <c r="R18" s="1"/>
    </row>
    <row r="19" spans="1:18" ht="290" x14ac:dyDescent="0.35">
      <c r="A19" s="81" t="s">
        <v>1333</v>
      </c>
      <c r="B19" s="33" t="s">
        <v>112</v>
      </c>
      <c r="C19" s="33" t="s">
        <v>173</v>
      </c>
      <c r="D19" s="33" t="s">
        <v>174</v>
      </c>
      <c r="E19" s="33" t="s">
        <v>175</v>
      </c>
      <c r="F19" s="33" t="s">
        <v>176</v>
      </c>
      <c r="G19" s="81" t="s">
        <v>1354</v>
      </c>
      <c r="H19" s="81" t="s">
        <v>1354</v>
      </c>
      <c r="I19" s="81" t="s">
        <v>1354</v>
      </c>
      <c r="J19" s="81" t="s">
        <v>1358</v>
      </c>
      <c r="K19" s="81"/>
      <c r="L19" s="81" t="s">
        <v>1361</v>
      </c>
      <c r="M19" s="81" t="s">
        <v>715</v>
      </c>
      <c r="N19" s="81" t="s">
        <v>2268</v>
      </c>
      <c r="O19" s="81" t="s">
        <v>2271</v>
      </c>
      <c r="P19" s="1"/>
      <c r="Q19" s="1"/>
      <c r="R19" s="1"/>
    </row>
    <row r="20" spans="1:18" ht="232" x14ac:dyDescent="0.35">
      <c r="A20" s="81" t="s">
        <v>1334</v>
      </c>
      <c r="B20" s="33" t="s">
        <v>1070</v>
      </c>
      <c r="C20" s="33" t="s">
        <v>177</v>
      </c>
      <c r="D20" s="33" t="s">
        <v>178</v>
      </c>
      <c r="E20" s="33" t="s">
        <v>179</v>
      </c>
      <c r="F20" s="33" t="s">
        <v>180</v>
      </c>
      <c r="G20" s="81" t="s">
        <v>1354</v>
      </c>
      <c r="H20" s="81" t="s">
        <v>177</v>
      </c>
      <c r="I20" s="81" t="s">
        <v>1357</v>
      </c>
      <c r="J20" s="81" t="s">
        <v>1360</v>
      </c>
      <c r="K20" s="81"/>
      <c r="L20" s="81" t="s">
        <v>1363</v>
      </c>
      <c r="M20" s="81" t="s">
        <v>715</v>
      </c>
      <c r="N20" s="81" t="s">
        <v>2269</v>
      </c>
      <c r="O20" s="81" t="s">
        <v>2272</v>
      </c>
      <c r="P20" s="1"/>
      <c r="Q20" s="1"/>
      <c r="R20" s="1"/>
    </row>
    <row r="21" spans="1:18" ht="203" x14ac:dyDescent="0.35">
      <c r="A21" s="81" t="s">
        <v>1335</v>
      </c>
      <c r="B21" s="33" t="s">
        <v>113</v>
      </c>
      <c r="C21" s="33" t="s">
        <v>181</v>
      </c>
      <c r="D21" s="33" t="s">
        <v>182</v>
      </c>
      <c r="E21" s="33" t="s">
        <v>183</v>
      </c>
      <c r="F21" s="33" t="s">
        <v>184</v>
      </c>
      <c r="G21" s="81" t="s">
        <v>1354</v>
      </c>
      <c r="H21" s="81" t="s">
        <v>1354</v>
      </c>
      <c r="I21" s="81" t="s">
        <v>1354</v>
      </c>
      <c r="J21" s="81" t="s">
        <v>1358</v>
      </c>
      <c r="K21" s="81"/>
      <c r="L21" s="81" t="s">
        <v>1361</v>
      </c>
      <c r="M21" s="81" t="s">
        <v>715</v>
      </c>
      <c r="N21" s="81" t="s">
        <v>2269</v>
      </c>
      <c r="O21" s="81" t="s">
        <v>2272</v>
      </c>
      <c r="P21" s="1"/>
      <c r="Q21" s="1"/>
      <c r="R21" s="1"/>
    </row>
    <row r="22" spans="1:18" ht="217.5" x14ac:dyDescent="0.35">
      <c r="A22" s="81" t="s">
        <v>1336</v>
      </c>
      <c r="B22" s="33" t="s">
        <v>1071</v>
      </c>
      <c r="C22" s="33" t="s">
        <v>185</v>
      </c>
      <c r="D22" s="33" t="s">
        <v>186</v>
      </c>
      <c r="E22" s="33" t="s">
        <v>187</v>
      </c>
      <c r="F22" s="33" t="s">
        <v>188</v>
      </c>
      <c r="G22" s="81" t="s">
        <v>1354</v>
      </c>
      <c r="H22" s="81" t="s">
        <v>185</v>
      </c>
      <c r="I22" s="81" t="s">
        <v>1357</v>
      </c>
      <c r="J22" s="81" t="s">
        <v>1360</v>
      </c>
      <c r="K22" s="81"/>
      <c r="L22" s="81" t="s">
        <v>1363</v>
      </c>
      <c r="M22" s="81" t="s">
        <v>715</v>
      </c>
      <c r="N22" s="81" t="s">
        <v>2269</v>
      </c>
      <c r="O22" s="81" t="s">
        <v>2272</v>
      </c>
      <c r="P22" s="1"/>
      <c r="Q22" s="1"/>
      <c r="R22" s="1"/>
    </row>
    <row r="23" spans="1:18" ht="217.5" x14ac:dyDescent="0.35">
      <c r="A23" s="81" t="s">
        <v>1337</v>
      </c>
      <c r="B23" s="33" t="s">
        <v>114</v>
      </c>
      <c r="C23" s="33" t="s">
        <v>177</v>
      </c>
      <c r="D23" s="33" t="s">
        <v>189</v>
      </c>
      <c r="E23" s="33" t="s">
        <v>190</v>
      </c>
      <c r="F23" s="33" t="s">
        <v>191</v>
      </c>
      <c r="G23" s="81" t="s">
        <v>1354</v>
      </c>
      <c r="H23" s="81" t="s">
        <v>1354</v>
      </c>
      <c r="I23" s="81" t="s">
        <v>1354</v>
      </c>
      <c r="J23" s="81" t="s">
        <v>1358</v>
      </c>
      <c r="K23" s="81"/>
      <c r="L23" s="81" t="s">
        <v>1361</v>
      </c>
      <c r="M23" s="81" t="s">
        <v>715</v>
      </c>
      <c r="N23" s="81" t="s">
        <v>2269</v>
      </c>
      <c r="O23" s="81" t="s">
        <v>2271</v>
      </c>
      <c r="P23" s="1"/>
      <c r="Q23" s="1"/>
      <c r="R23" s="1"/>
    </row>
    <row r="24" spans="1:18" ht="217.5" x14ac:dyDescent="0.35">
      <c r="A24" s="81" t="s">
        <v>1338</v>
      </c>
      <c r="B24" s="33" t="s">
        <v>115</v>
      </c>
      <c r="C24" s="33" t="s">
        <v>192</v>
      </c>
      <c r="D24" s="33" t="s">
        <v>193</v>
      </c>
      <c r="E24" s="33" t="s">
        <v>194</v>
      </c>
      <c r="F24" s="33" t="s">
        <v>195</v>
      </c>
      <c r="G24" s="81" t="s">
        <v>1354</v>
      </c>
      <c r="H24" s="81" t="s">
        <v>1354</v>
      </c>
      <c r="I24" s="81" t="s">
        <v>1354</v>
      </c>
      <c r="J24" s="81" t="s">
        <v>1358</v>
      </c>
      <c r="K24" s="81"/>
      <c r="L24" s="81" t="s">
        <v>1361</v>
      </c>
      <c r="M24" s="81" t="s">
        <v>715</v>
      </c>
      <c r="N24" s="81" t="s">
        <v>2269</v>
      </c>
      <c r="O24" s="81" t="s">
        <v>2272</v>
      </c>
      <c r="P24" s="1"/>
      <c r="Q24" s="1"/>
      <c r="R24" s="1"/>
    </row>
    <row r="25" spans="1:18" ht="232" x14ac:dyDescent="0.35">
      <c r="A25" s="81" t="s">
        <v>1339</v>
      </c>
      <c r="B25" s="33" t="s">
        <v>1072</v>
      </c>
      <c r="C25" s="33" t="s">
        <v>196</v>
      </c>
      <c r="D25" s="33" t="s">
        <v>197</v>
      </c>
      <c r="E25" s="33" t="s">
        <v>198</v>
      </c>
      <c r="F25" s="33" t="s">
        <v>199</v>
      </c>
      <c r="G25" s="81" t="s">
        <v>1354</v>
      </c>
      <c r="H25" s="81" t="s">
        <v>196</v>
      </c>
      <c r="I25" s="81" t="s">
        <v>1357</v>
      </c>
      <c r="J25" s="81" t="s">
        <v>1360</v>
      </c>
      <c r="K25" s="81"/>
      <c r="L25" s="81" t="s">
        <v>1363</v>
      </c>
      <c r="M25" s="81" t="s">
        <v>715</v>
      </c>
      <c r="N25" s="81" t="s">
        <v>2269</v>
      </c>
      <c r="O25" s="81" t="s">
        <v>2272</v>
      </c>
      <c r="P25" s="1"/>
      <c r="Q25" s="1"/>
      <c r="R25" s="1"/>
    </row>
    <row r="26" spans="1:18" ht="275.5" x14ac:dyDescent="0.35">
      <c r="A26" s="81" t="s">
        <v>1340</v>
      </c>
      <c r="B26" s="33" t="s">
        <v>1078</v>
      </c>
      <c r="C26" s="33" t="s">
        <v>1079</v>
      </c>
      <c r="D26" s="33" t="s">
        <v>1080</v>
      </c>
      <c r="E26" s="33" t="s">
        <v>1081</v>
      </c>
      <c r="F26" s="33" t="s">
        <v>1082</v>
      </c>
      <c r="G26" s="81" t="s">
        <v>1356</v>
      </c>
      <c r="H26" s="81" t="s">
        <v>1079</v>
      </c>
      <c r="I26" s="81" t="s">
        <v>1354</v>
      </c>
      <c r="J26" s="81" t="s">
        <v>1360</v>
      </c>
      <c r="K26" s="81"/>
      <c r="L26" s="81" t="s">
        <v>1364</v>
      </c>
      <c r="M26" s="81" t="s">
        <v>715</v>
      </c>
      <c r="N26" s="81" t="s">
        <v>2268</v>
      </c>
      <c r="O26" s="81" t="s">
        <v>2271</v>
      </c>
      <c r="P26" s="1"/>
      <c r="Q26" s="1"/>
      <c r="R26" s="1"/>
    </row>
  </sheetData>
  <dataValidations count="2">
    <dataValidation type="list" allowBlank="1" showInputMessage="1" showErrorMessage="1" sqref="O2:O26" xr:uid="{6C8DC040-ADEA-47E2-8B2F-580B9A4F7773}">
      <formula1>"Assistance,Action guidée,Semi-autonome,Autonome,À qualifier"</formula1>
    </dataValidation>
    <dataValidation type="list" allowBlank="1" showInputMessage="1" showErrorMessage="1" sqref="N2:N26" xr:uid="{AD571D49-2B5E-4C25-A7FA-71C2A47A3A4E}">
      <formula1>"Agent,Assistant,Agent spécialisé,Fonctionnalité IA,À qualifier"</formula1>
    </dataValidation>
  </dataValidations>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B3685-B387-45DB-A08D-9F556C9AA716}">
  <sheetPr>
    <tabColor rgb="FF555555"/>
  </sheetPr>
  <dimension ref="A1:D107"/>
  <sheetViews>
    <sheetView workbookViewId="0"/>
  </sheetViews>
  <sheetFormatPr baseColWidth="10" defaultRowHeight="14.5" x14ac:dyDescent="0.35"/>
  <cols>
    <col min="1" max="1" width="14" bestFit="1" customWidth="1"/>
    <col min="2" max="2" width="11.08984375" bestFit="1" customWidth="1"/>
    <col min="3" max="3" width="14.26953125" bestFit="1" customWidth="1"/>
    <col min="4" max="4" width="82.54296875" bestFit="1" customWidth="1"/>
  </cols>
  <sheetData>
    <row r="1" spans="1:4" ht="29" x14ac:dyDescent="0.35">
      <c r="A1" s="250" t="s">
        <v>1207</v>
      </c>
      <c r="B1" s="251" t="s">
        <v>0</v>
      </c>
      <c r="C1" s="251" t="s">
        <v>90</v>
      </c>
      <c r="D1" s="251" t="s">
        <v>1</v>
      </c>
    </row>
    <row r="2" spans="1:4" ht="290" x14ac:dyDescent="0.35">
      <c r="A2" s="81" t="s">
        <v>1210</v>
      </c>
      <c r="B2" s="33" t="s">
        <v>32</v>
      </c>
      <c r="C2" s="33" t="s">
        <v>12</v>
      </c>
      <c r="D2" s="33" t="s">
        <v>33</v>
      </c>
    </row>
    <row r="3" spans="1:4" ht="145" x14ac:dyDescent="0.35">
      <c r="A3" s="81" t="s">
        <v>1211</v>
      </c>
      <c r="B3" s="33" t="s">
        <v>14</v>
      </c>
      <c r="C3" s="33" t="s">
        <v>285</v>
      </c>
      <c r="D3" s="33" t="s">
        <v>15</v>
      </c>
    </row>
    <row r="4" spans="1:4" ht="203" x14ac:dyDescent="0.35">
      <c r="A4" s="81" t="s">
        <v>1212</v>
      </c>
      <c r="B4" s="33" t="s">
        <v>44</v>
      </c>
      <c r="C4" s="33" t="s">
        <v>12</v>
      </c>
      <c r="D4" s="33" t="s">
        <v>45</v>
      </c>
    </row>
    <row r="5" spans="1:4" ht="159.5" x14ac:dyDescent="0.35">
      <c r="A5" s="81" t="s">
        <v>1213</v>
      </c>
      <c r="B5" s="33" t="s">
        <v>40</v>
      </c>
      <c r="C5" s="33" t="s">
        <v>285</v>
      </c>
      <c r="D5" s="33" t="s">
        <v>41</v>
      </c>
    </row>
    <row r="6" spans="1:4" ht="409.5" x14ac:dyDescent="0.35">
      <c r="A6" s="81" t="s">
        <v>1214</v>
      </c>
      <c r="B6" s="33" t="s">
        <v>34</v>
      </c>
      <c r="C6" s="33" t="s">
        <v>285</v>
      </c>
      <c r="D6" s="33" t="s">
        <v>35</v>
      </c>
    </row>
    <row r="7" spans="1:4" ht="304.5" x14ac:dyDescent="0.35">
      <c r="A7" s="81" t="s">
        <v>1215</v>
      </c>
      <c r="B7" s="33" t="s">
        <v>259</v>
      </c>
      <c r="C7" s="33" t="s">
        <v>273</v>
      </c>
      <c r="D7" s="33" t="s">
        <v>260</v>
      </c>
    </row>
    <row r="8" spans="1:4" ht="275.5" x14ac:dyDescent="0.35">
      <c r="A8" s="81" t="s">
        <v>1216</v>
      </c>
      <c r="B8" s="33" t="s">
        <v>87</v>
      </c>
      <c r="C8" s="33" t="s">
        <v>278</v>
      </c>
      <c r="D8" s="33" t="s">
        <v>348</v>
      </c>
    </row>
    <row r="9" spans="1:4" ht="333.5" x14ac:dyDescent="0.35">
      <c r="A9" s="81" t="s">
        <v>1217</v>
      </c>
      <c r="B9" s="33" t="s">
        <v>314</v>
      </c>
      <c r="C9" s="33" t="s">
        <v>274</v>
      </c>
      <c r="D9" s="33" t="s">
        <v>315</v>
      </c>
    </row>
    <row r="10" spans="1:4" ht="348" x14ac:dyDescent="0.35">
      <c r="A10" s="81" t="s">
        <v>1218</v>
      </c>
      <c r="B10" s="33" t="s">
        <v>222</v>
      </c>
      <c r="C10" s="33" t="s">
        <v>274</v>
      </c>
      <c r="D10" s="33" t="s">
        <v>223</v>
      </c>
    </row>
    <row r="11" spans="1:4" ht="319" x14ac:dyDescent="0.35">
      <c r="A11" s="81" t="s">
        <v>1219</v>
      </c>
      <c r="B11" s="33" t="s">
        <v>80</v>
      </c>
      <c r="C11" s="33" t="s">
        <v>12</v>
      </c>
      <c r="D11" s="33" t="s">
        <v>81</v>
      </c>
    </row>
    <row r="12" spans="1:4" ht="275.5" x14ac:dyDescent="0.35">
      <c r="A12" s="81" t="s">
        <v>1220</v>
      </c>
      <c r="B12" s="33" t="s">
        <v>304</v>
      </c>
      <c r="C12" s="33" t="s">
        <v>285</v>
      </c>
      <c r="D12" s="33" t="s">
        <v>305</v>
      </c>
    </row>
    <row r="13" spans="1:4" ht="304.5" x14ac:dyDescent="0.35">
      <c r="A13" s="81" t="s">
        <v>1221</v>
      </c>
      <c r="B13" s="33" t="s">
        <v>346</v>
      </c>
      <c r="C13" s="33" t="s">
        <v>97</v>
      </c>
      <c r="D13" s="33" t="s">
        <v>347</v>
      </c>
    </row>
    <row r="14" spans="1:4" ht="377" x14ac:dyDescent="0.35">
      <c r="A14" s="81" t="s">
        <v>1222</v>
      </c>
      <c r="B14" s="33" t="s">
        <v>320</v>
      </c>
      <c r="C14" s="33" t="s">
        <v>274</v>
      </c>
      <c r="D14" s="33" t="s">
        <v>321</v>
      </c>
    </row>
    <row r="15" spans="1:4" ht="333.5" x14ac:dyDescent="0.35">
      <c r="A15" s="81" t="s">
        <v>1223</v>
      </c>
      <c r="B15" s="33" t="s">
        <v>338</v>
      </c>
      <c r="C15" s="33" t="s">
        <v>273</v>
      </c>
      <c r="D15" s="33" t="s">
        <v>339</v>
      </c>
    </row>
    <row r="16" spans="1:4" ht="362.5" x14ac:dyDescent="0.35">
      <c r="A16" s="81" t="s">
        <v>1224</v>
      </c>
      <c r="B16" s="33" t="s">
        <v>210</v>
      </c>
      <c r="C16" s="33" t="s">
        <v>283</v>
      </c>
      <c r="D16" s="33" t="s">
        <v>211</v>
      </c>
    </row>
    <row r="17" spans="1:4" ht="72.5" x14ac:dyDescent="0.35">
      <c r="A17" s="81" t="s">
        <v>1225</v>
      </c>
      <c r="B17" s="33" t="s">
        <v>20</v>
      </c>
      <c r="C17" s="33" t="s">
        <v>276</v>
      </c>
      <c r="D17" s="33" t="s">
        <v>21</v>
      </c>
    </row>
    <row r="18" spans="1:4" ht="333.5" x14ac:dyDescent="0.35">
      <c r="A18" s="81" t="s">
        <v>1226</v>
      </c>
      <c r="B18" s="33" t="s">
        <v>94</v>
      </c>
      <c r="C18" s="33" t="s">
        <v>97</v>
      </c>
      <c r="D18" s="33" t="s">
        <v>247</v>
      </c>
    </row>
    <row r="19" spans="1:4" ht="203" x14ac:dyDescent="0.35">
      <c r="A19" s="81" t="s">
        <v>1227</v>
      </c>
      <c r="B19" s="33" t="s">
        <v>71</v>
      </c>
      <c r="C19" s="33" t="s">
        <v>12</v>
      </c>
      <c r="D19" s="33" t="s">
        <v>72</v>
      </c>
    </row>
    <row r="20" spans="1:4" ht="377" x14ac:dyDescent="0.35">
      <c r="A20" s="81" t="s">
        <v>1228</v>
      </c>
      <c r="B20" s="33" t="s">
        <v>235</v>
      </c>
      <c r="C20" s="33" t="s">
        <v>12</v>
      </c>
      <c r="D20" s="33" t="s">
        <v>236</v>
      </c>
    </row>
    <row r="21" spans="1:4" ht="362.5" x14ac:dyDescent="0.35">
      <c r="A21" s="81" t="s">
        <v>1229</v>
      </c>
      <c r="B21" s="33" t="s">
        <v>214</v>
      </c>
      <c r="C21" s="33" t="s">
        <v>277</v>
      </c>
      <c r="D21" s="33" t="s">
        <v>215</v>
      </c>
    </row>
    <row r="22" spans="1:4" ht="43.5" x14ac:dyDescent="0.35">
      <c r="A22" s="81" t="s">
        <v>1230</v>
      </c>
      <c r="B22" s="33" t="s">
        <v>6</v>
      </c>
      <c r="C22" s="33" t="s">
        <v>278</v>
      </c>
      <c r="D22" s="33" t="s">
        <v>7</v>
      </c>
    </row>
    <row r="23" spans="1:4" ht="43.5" x14ac:dyDescent="0.35">
      <c r="A23" s="81" t="s">
        <v>1231</v>
      </c>
      <c r="B23" s="33" t="s">
        <v>12</v>
      </c>
      <c r="C23" s="33" t="s">
        <v>12</v>
      </c>
      <c r="D23" s="33" t="s">
        <v>13</v>
      </c>
    </row>
    <row r="24" spans="1:4" ht="304.5" x14ac:dyDescent="0.35">
      <c r="A24" s="81" t="s">
        <v>1232</v>
      </c>
      <c r="B24" s="33" t="s">
        <v>294</v>
      </c>
      <c r="C24" s="33" t="s">
        <v>12</v>
      </c>
      <c r="D24" s="33" t="s">
        <v>295</v>
      </c>
    </row>
    <row r="25" spans="1:4" ht="319" x14ac:dyDescent="0.35">
      <c r="A25" s="81" t="s">
        <v>1233</v>
      </c>
      <c r="B25" s="33" t="s">
        <v>85</v>
      </c>
      <c r="C25" s="33" t="s">
        <v>12</v>
      </c>
      <c r="D25" s="33" t="s">
        <v>227</v>
      </c>
    </row>
    <row r="26" spans="1:4" ht="275.5" x14ac:dyDescent="0.35">
      <c r="A26" s="81" t="s">
        <v>1234</v>
      </c>
      <c r="B26" s="33" t="s">
        <v>300</v>
      </c>
      <c r="C26" s="33" t="s">
        <v>12</v>
      </c>
      <c r="D26" s="33" t="s">
        <v>301</v>
      </c>
    </row>
    <row r="27" spans="1:4" ht="362.5" x14ac:dyDescent="0.35">
      <c r="A27" s="81" t="s">
        <v>1235</v>
      </c>
      <c r="B27" s="33" t="s">
        <v>292</v>
      </c>
      <c r="C27" s="33" t="s">
        <v>12</v>
      </c>
      <c r="D27" s="33" t="s">
        <v>293</v>
      </c>
    </row>
    <row r="28" spans="1:4" ht="304.5" x14ac:dyDescent="0.35">
      <c r="A28" s="81" t="s">
        <v>1236</v>
      </c>
      <c r="B28" s="33" t="s">
        <v>89</v>
      </c>
      <c r="C28" s="33" t="s">
        <v>12</v>
      </c>
      <c r="D28" s="33" t="s">
        <v>226</v>
      </c>
    </row>
    <row r="29" spans="1:4" ht="232" x14ac:dyDescent="0.35">
      <c r="A29" s="81" t="s">
        <v>1237</v>
      </c>
      <c r="B29" s="33" t="s">
        <v>306</v>
      </c>
      <c r="C29" s="33" t="s">
        <v>285</v>
      </c>
      <c r="D29" s="33" t="s">
        <v>307</v>
      </c>
    </row>
    <row r="30" spans="1:4" ht="290" x14ac:dyDescent="0.35">
      <c r="A30" s="81" t="s">
        <v>1238</v>
      </c>
      <c r="B30" s="33" t="s">
        <v>255</v>
      </c>
      <c r="C30" s="33" t="s">
        <v>276</v>
      </c>
      <c r="D30" s="33" t="s">
        <v>256</v>
      </c>
    </row>
    <row r="31" spans="1:4" ht="290" x14ac:dyDescent="0.35">
      <c r="A31" s="81" t="s">
        <v>1239</v>
      </c>
      <c r="B31" s="33" t="s">
        <v>359</v>
      </c>
      <c r="C31" s="33" t="s">
        <v>276</v>
      </c>
      <c r="D31" s="33" t="s">
        <v>360</v>
      </c>
    </row>
    <row r="32" spans="1:4" ht="290" x14ac:dyDescent="0.35">
      <c r="A32" s="81" t="s">
        <v>1240</v>
      </c>
      <c r="B32" s="33" t="s">
        <v>342</v>
      </c>
      <c r="C32" s="33" t="s">
        <v>273</v>
      </c>
      <c r="D32" s="33" t="s">
        <v>343</v>
      </c>
    </row>
    <row r="33" spans="1:4" ht="217.5" x14ac:dyDescent="0.35">
      <c r="A33" s="81" t="s">
        <v>1241</v>
      </c>
      <c r="B33" s="33" t="s">
        <v>30</v>
      </c>
      <c r="C33" s="33" t="s">
        <v>12</v>
      </c>
      <c r="D33" s="33" t="s">
        <v>31</v>
      </c>
    </row>
    <row r="34" spans="1:4" ht="290" x14ac:dyDescent="0.35">
      <c r="A34" s="81" t="s">
        <v>1242</v>
      </c>
      <c r="B34" s="33" t="s">
        <v>233</v>
      </c>
      <c r="C34" s="33" t="s">
        <v>12</v>
      </c>
      <c r="D34" s="33" t="s">
        <v>234</v>
      </c>
    </row>
    <row r="35" spans="1:4" ht="304.5" x14ac:dyDescent="0.35">
      <c r="A35" s="81" t="s">
        <v>1243</v>
      </c>
      <c r="B35" s="33" t="s">
        <v>263</v>
      </c>
      <c r="C35" s="33" t="s">
        <v>277</v>
      </c>
      <c r="D35" s="33" t="s">
        <v>264</v>
      </c>
    </row>
    <row r="36" spans="1:4" ht="290" x14ac:dyDescent="0.35">
      <c r="A36" s="81" t="s">
        <v>1244</v>
      </c>
      <c r="B36" s="33" t="s">
        <v>82</v>
      </c>
      <c r="C36" s="33" t="s">
        <v>12</v>
      </c>
      <c r="D36" s="33" t="s">
        <v>83</v>
      </c>
    </row>
    <row r="37" spans="1:4" ht="72.5" x14ac:dyDescent="0.35">
      <c r="A37" s="81" t="s">
        <v>1245</v>
      </c>
      <c r="B37" s="33" t="s">
        <v>22</v>
      </c>
      <c r="C37" s="33" t="s">
        <v>276</v>
      </c>
      <c r="D37" s="33" t="s">
        <v>23</v>
      </c>
    </row>
    <row r="38" spans="1:4" ht="304.5" x14ac:dyDescent="0.35">
      <c r="A38" s="81" t="s">
        <v>1246</v>
      </c>
      <c r="B38" s="33" t="s">
        <v>243</v>
      </c>
      <c r="C38" s="33" t="s">
        <v>273</v>
      </c>
      <c r="D38" s="33" t="s">
        <v>244</v>
      </c>
    </row>
    <row r="39" spans="1:4" ht="203" x14ac:dyDescent="0.35">
      <c r="A39" s="81" t="s">
        <v>1247</v>
      </c>
      <c r="B39" s="33" t="s">
        <v>54</v>
      </c>
      <c r="C39" s="33" t="s">
        <v>12</v>
      </c>
      <c r="D39" s="33" t="s">
        <v>55</v>
      </c>
    </row>
    <row r="40" spans="1:4" ht="275.5" x14ac:dyDescent="0.35">
      <c r="A40" s="81" t="s">
        <v>1248</v>
      </c>
      <c r="B40" s="33" t="s">
        <v>340</v>
      </c>
      <c r="C40" s="33" t="s">
        <v>273</v>
      </c>
      <c r="D40" s="33" t="s">
        <v>341</v>
      </c>
    </row>
    <row r="41" spans="1:4" ht="406" x14ac:dyDescent="0.35">
      <c r="A41" s="81" t="s">
        <v>1249</v>
      </c>
      <c r="B41" s="33" t="s">
        <v>206</v>
      </c>
      <c r="C41" s="33" t="s">
        <v>275</v>
      </c>
      <c r="D41" s="33" t="s">
        <v>207</v>
      </c>
    </row>
    <row r="42" spans="1:4" ht="319" x14ac:dyDescent="0.35">
      <c r="A42" s="81" t="s">
        <v>1250</v>
      </c>
      <c r="B42" s="33" t="s">
        <v>204</v>
      </c>
      <c r="C42" s="33" t="s">
        <v>277</v>
      </c>
      <c r="D42" s="33" t="s">
        <v>205</v>
      </c>
    </row>
    <row r="43" spans="1:4" ht="304.5" x14ac:dyDescent="0.35">
      <c r="A43" s="81" t="s">
        <v>1251</v>
      </c>
      <c r="B43" s="33" t="s">
        <v>351</v>
      </c>
      <c r="C43" s="33" t="s">
        <v>284</v>
      </c>
      <c r="D43" s="33" t="s">
        <v>352</v>
      </c>
    </row>
    <row r="44" spans="1:4" ht="333.5" x14ac:dyDescent="0.35">
      <c r="A44" s="81" t="s">
        <v>1252</v>
      </c>
      <c r="B44" s="33" t="s">
        <v>229</v>
      </c>
      <c r="C44" s="33" t="s">
        <v>12</v>
      </c>
      <c r="D44" s="33" t="s">
        <v>230</v>
      </c>
    </row>
    <row r="45" spans="1:4" ht="261" x14ac:dyDescent="0.35">
      <c r="A45" s="81" t="s">
        <v>1253</v>
      </c>
      <c r="B45" s="33" t="s">
        <v>308</v>
      </c>
      <c r="C45" s="33" t="s">
        <v>285</v>
      </c>
      <c r="D45" s="33" t="s">
        <v>309</v>
      </c>
    </row>
    <row r="46" spans="1:4" ht="409.5" x14ac:dyDescent="0.35">
      <c r="A46" s="81" t="s">
        <v>1254</v>
      </c>
      <c r="B46" s="33" t="s">
        <v>290</v>
      </c>
      <c r="C46" s="33" t="s">
        <v>278</v>
      </c>
      <c r="D46" s="33" t="s">
        <v>291</v>
      </c>
    </row>
    <row r="47" spans="1:4" ht="261" x14ac:dyDescent="0.35">
      <c r="A47" s="81" t="s">
        <v>1255</v>
      </c>
      <c r="B47" s="33" t="s">
        <v>18</v>
      </c>
      <c r="C47" s="33" t="s">
        <v>274</v>
      </c>
      <c r="D47" s="33" t="s">
        <v>19</v>
      </c>
    </row>
    <row r="48" spans="1:4" ht="391.5" x14ac:dyDescent="0.35">
      <c r="A48" s="81" t="s">
        <v>1256</v>
      </c>
      <c r="B48" s="33" t="s">
        <v>257</v>
      </c>
      <c r="C48" s="33" t="s">
        <v>273</v>
      </c>
      <c r="D48" s="33" t="s">
        <v>258</v>
      </c>
    </row>
    <row r="49" spans="1:4" ht="72.5" x14ac:dyDescent="0.35">
      <c r="A49" s="81" t="s">
        <v>1257</v>
      </c>
      <c r="B49" s="33" t="s">
        <v>5</v>
      </c>
      <c r="C49" s="33" t="s">
        <v>278</v>
      </c>
      <c r="D49" s="33" t="s">
        <v>265</v>
      </c>
    </row>
    <row r="50" spans="1:4" ht="304.5" x14ac:dyDescent="0.35">
      <c r="A50" s="81" t="s">
        <v>1258</v>
      </c>
      <c r="B50" s="33" t="s">
        <v>95</v>
      </c>
      <c r="C50" s="33" t="s">
        <v>97</v>
      </c>
      <c r="D50" s="33" t="s">
        <v>350</v>
      </c>
    </row>
    <row r="51" spans="1:4" ht="116" x14ac:dyDescent="0.35">
      <c r="A51" s="81" t="s">
        <v>1259</v>
      </c>
      <c r="B51" s="33" t="s">
        <v>2</v>
      </c>
      <c r="C51" s="33" t="s">
        <v>278</v>
      </c>
      <c r="D51" s="33" t="s">
        <v>3</v>
      </c>
    </row>
    <row r="52" spans="1:4" ht="362.5" x14ac:dyDescent="0.35">
      <c r="A52" s="81" t="s">
        <v>1260</v>
      </c>
      <c r="B52" s="33" t="s">
        <v>357</v>
      </c>
      <c r="C52" s="33" t="s">
        <v>276</v>
      </c>
      <c r="D52" s="33" t="s">
        <v>358</v>
      </c>
    </row>
    <row r="53" spans="1:4" ht="333.5" x14ac:dyDescent="0.35">
      <c r="A53" s="81" t="s">
        <v>1261</v>
      </c>
      <c r="B53" s="33" t="s">
        <v>220</v>
      </c>
      <c r="C53" s="33" t="s">
        <v>277</v>
      </c>
      <c r="D53" s="33" t="s">
        <v>221</v>
      </c>
    </row>
    <row r="54" spans="1:4" ht="130.5" x14ac:dyDescent="0.35">
      <c r="A54" s="81" t="s">
        <v>1262</v>
      </c>
      <c r="B54" s="33" t="s">
        <v>52</v>
      </c>
      <c r="C54" s="33" t="s">
        <v>275</v>
      </c>
      <c r="D54" s="33" t="s">
        <v>53</v>
      </c>
    </row>
    <row r="55" spans="1:4" ht="348" x14ac:dyDescent="0.35">
      <c r="A55" s="81" t="s">
        <v>1263</v>
      </c>
      <c r="B55" s="33" t="s">
        <v>334</v>
      </c>
      <c r="C55" s="33" t="s">
        <v>273</v>
      </c>
      <c r="D55" s="33" t="s">
        <v>335</v>
      </c>
    </row>
    <row r="56" spans="1:4" ht="333.5" x14ac:dyDescent="0.35">
      <c r="A56" s="81" t="s">
        <v>1264</v>
      </c>
      <c r="B56" s="33" t="s">
        <v>249</v>
      </c>
      <c r="C56" s="33" t="s">
        <v>276</v>
      </c>
      <c r="D56" s="33" t="s">
        <v>250</v>
      </c>
    </row>
    <row r="57" spans="1:4" ht="362.5" x14ac:dyDescent="0.35">
      <c r="A57" s="81" t="s">
        <v>1265</v>
      </c>
      <c r="B57" s="33" t="s">
        <v>46</v>
      </c>
      <c r="C57" s="33" t="s">
        <v>97</v>
      </c>
      <c r="D57" s="33" t="s">
        <v>47</v>
      </c>
    </row>
    <row r="58" spans="1:4" ht="304.5" x14ac:dyDescent="0.35">
      <c r="A58" s="81" t="s">
        <v>1266</v>
      </c>
      <c r="B58" s="33" t="s">
        <v>48</v>
      </c>
      <c r="C58" s="33" t="s">
        <v>97</v>
      </c>
      <c r="D58" s="33" t="s">
        <v>49</v>
      </c>
    </row>
    <row r="59" spans="1:4" ht="409.5" x14ac:dyDescent="0.35">
      <c r="A59" s="81" t="s">
        <v>1267</v>
      </c>
      <c r="B59" s="33" t="s">
        <v>286</v>
      </c>
      <c r="C59" s="33" t="s">
        <v>284</v>
      </c>
      <c r="D59" s="33" t="s">
        <v>279</v>
      </c>
    </row>
    <row r="60" spans="1:4" ht="319" x14ac:dyDescent="0.35">
      <c r="A60" s="81" t="s">
        <v>1268</v>
      </c>
      <c r="B60" s="33" t="s">
        <v>261</v>
      </c>
      <c r="C60" s="33" t="s">
        <v>274</v>
      </c>
      <c r="D60" s="33" t="s">
        <v>262</v>
      </c>
    </row>
    <row r="61" spans="1:4" ht="333.5" x14ac:dyDescent="0.35">
      <c r="A61" s="81" t="s">
        <v>1269</v>
      </c>
      <c r="B61" s="33" t="s">
        <v>298</v>
      </c>
      <c r="C61" s="33" t="s">
        <v>12</v>
      </c>
      <c r="D61" s="33" t="s">
        <v>299</v>
      </c>
    </row>
    <row r="62" spans="1:4" ht="362.5" x14ac:dyDescent="0.35">
      <c r="A62" s="81" t="s">
        <v>1270</v>
      </c>
      <c r="B62" s="33" t="s">
        <v>324</v>
      </c>
      <c r="C62" s="33" t="s">
        <v>274</v>
      </c>
      <c r="D62" s="33" t="s">
        <v>325</v>
      </c>
    </row>
    <row r="63" spans="1:4" ht="319" x14ac:dyDescent="0.35">
      <c r="A63" s="81" t="s">
        <v>1271</v>
      </c>
      <c r="B63" s="33" t="s">
        <v>38</v>
      </c>
      <c r="C63" s="33" t="s">
        <v>285</v>
      </c>
      <c r="D63" s="33" t="s">
        <v>39</v>
      </c>
    </row>
    <row r="64" spans="1:4" ht="391.5" x14ac:dyDescent="0.35">
      <c r="A64" s="81" t="s">
        <v>1272</v>
      </c>
      <c r="B64" s="33" t="s">
        <v>312</v>
      </c>
      <c r="C64" s="33" t="s">
        <v>285</v>
      </c>
      <c r="D64" s="33" t="s">
        <v>313</v>
      </c>
    </row>
    <row r="65" spans="1:4" ht="319" x14ac:dyDescent="0.35">
      <c r="A65" s="81" t="s">
        <v>1273</v>
      </c>
      <c r="B65" s="33" t="s">
        <v>88</v>
      </c>
      <c r="C65" s="33" t="s">
        <v>12</v>
      </c>
      <c r="D65" s="33" t="s">
        <v>228</v>
      </c>
    </row>
    <row r="66" spans="1:4" ht="275.5" x14ac:dyDescent="0.35">
      <c r="A66" s="81" t="s">
        <v>1274</v>
      </c>
      <c r="B66" s="33" t="s">
        <v>239</v>
      </c>
      <c r="C66" s="33" t="s">
        <v>12</v>
      </c>
      <c r="D66" s="33" t="s">
        <v>240</v>
      </c>
    </row>
    <row r="67" spans="1:4" ht="275.5" x14ac:dyDescent="0.35">
      <c r="A67" s="81" t="s">
        <v>1275</v>
      </c>
      <c r="B67" s="33" t="s">
        <v>302</v>
      </c>
      <c r="C67" s="33" t="s">
        <v>12</v>
      </c>
      <c r="D67" s="33" t="s">
        <v>303</v>
      </c>
    </row>
    <row r="68" spans="1:4" ht="377" x14ac:dyDescent="0.35">
      <c r="A68" s="81" t="s">
        <v>1276</v>
      </c>
      <c r="B68" s="33" t="s">
        <v>289</v>
      </c>
      <c r="C68" s="33" t="s">
        <v>284</v>
      </c>
      <c r="D68" s="33" t="s">
        <v>282</v>
      </c>
    </row>
    <row r="69" spans="1:4" ht="409.5" x14ac:dyDescent="0.35">
      <c r="A69" s="81" t="s">
        <v>1277</v>
      </c>
      <c r="B69" s="33" t="s">
        <v>288</v>
      </c>
      <c r="C69" s="33" t="s">
        <v>284</v>
      </c>
      <c r="D69" s="33" t="s">
        <v>281</v>
      </c>
    </row>
    <row r="70" spans="1:4" ht="217.5" x14ac:dyDescent="0.35">
      <c r="A70" s="81" t="s">
        <v>1278</v>
      </c>
      <c r="B70" s="33" t="s">
        <v>36</v>
      </c>
      <c r="C70" s="33" t="s">
        <v>285</v>
      </c>
      <c r="D70" s="33" t="s">
        <v>37</v>
      </c>
    </row>
    <row r="71" spans="1:4" ht="406" x14ac:dyDescent="0.35">
      <c r="A71" s="81" t="s">
        <v>1279</v>
      </c>
      <c r="B71" s="33" t="s">
        <v>96</v>
      </c>
      <c r="C71" s="33" t="s">
        <v>97</v>
      </c>
      <c r="D71" s="33" t="s">
        <v>248</v>
      </c>
    </row>
    <row r="72" spans="1:4" ht="348" x14ac:dyDescent="0.35">
      <c r="A72" s="81" t="s">
        <v>1280</v>
      </c>
      <c r="B72" s="33" t="s">
        <v>251</v>
      </c>
      <c r="C72" s="33" t="s">
        <v>276</v>
      </c>
      <c r="D72" s="33" t="s">
        <v>252</v>
      </c>
    </row>
    <row r="73" spans="1:4" ht="304.5" x14ac:dyDescent="0.35">
      <c r="A73" s="81" t="s">
        <v>1281</v>
      </c>
      <c r="B73" s="33" t="s">
        <v>86</v>
      </c>
      <c r="C73" s="33" t="s">
        <v>278</v>
      </c>
      <c r="D73" s="33" t="s">
        <v>349</v>
      </c>
    </row>
    <row r="74" spans="1:4" ht="319" x14ac:dyDescent="0.35">
      <c r="A74" s="81" t="s">
        <v>1282</v>
      </c>
      <c r="B74" s="33" t="s">
        <v>245</v>
      </c>
      <c r="C74" s="33" t="s">
        <v>285</v>
      </c>
      <c r="D74" s="33" t="s">
        <v>246</v>
      </c>
    </row>
    <row r="75" spans="1:4" ht="304.5" x14ac:dyDescent="0.35">
      <c r="A75" s="81" t="s">
        <v>1283</v>
      </c>
      <c r="B75" s="33" t="s">
        <v>26</v>
      </c>
      <c r="C75" s="33" t="s">
        <v>285</v>
      </c>
      <c r="D75" s="33" t="s">
        <v>27</v>
      </c>
    </row>
    <row r="76" spans="1:4" ht="275.5" x14ac:dyDescent="0.35">
      <c r="A76" s="81" t="s">
        <v>1284</v>
      </c>
      <c r="B76" s="33" t="s">
        <v>318</v>
      </c>
      <c r="C76" s="33" t="s">
        <v>274</v>
      </c>
      <c r="D76" s="33" t="s">
        <v>319</v>
      </c>
    </row>
    <row r="77" spans="1:4" ht="261" x14ac:dyDescent="0.35">
      <c r="A77" s="81" t="s">
        <v>1285</v>
      </c>
      <c r="B77" s="33" t="s">
        <v>310</v>
      </c>
      <c r="C77" s="33" t="s">
        <v>285</v>
      </c>
      <c r="D77" s="33" t="s">
        <v>311</v>
      </c>
    </row>
    <row r="78" spans="1:4" ht="319" x14ac:dyDescent="0.35">
      <c r="A78" s="81" t="s">
        <v>1286</v>
      </c>
      <c r="B78" s="33" t="s">
        <v>237</v>
      </c>
      <c r="C78" s="33" t="s">
        <v>12</v>
      </c>
      <c r="D78" s="33" t="s">
        <v>238</v>
      </c>
    </row>
    <row r="79" spans="1:4" ht="43.5" x14ac:dyDescent="0.35">
      <c r="A79" s="81" t="s">
        <v>1287</v>
      </c>
      <c r="B79" s="33" t="s">
        <v>28</v>
      </c>
      <c r="C79" s="33" t="s">
        <v>12</v>
      </c>
      <c r="D79" s="33" t="s">
        <v>29</v>
      </c>
    </row>
    <row r="80" spans="1:4" ht="409.5" x14ac:dyDescent="0.35">
      <c r="A80" s="81" t="s">
        <v>1288</v>
      </c>
      <c r="B80" s="33" t="s">
        <v>4</v>
      </c>
      <c r="C80" s="33" t="s">
        <v>275</v>
      </c>
      <c r="D80" s="33" t="s">
        <v>272</v>
      </c>
    </row>
    <row r="81" spans="1:4" ht="319" x14ac:dyDescent="0.35">
      <c r="A81" s="81" t="s">
        <v>1289</v>
      </c>
      <c r="B81" s="33" t="s">
        <v>326</v>
      </c>
      <c r="C81" s="33" t="s">
        <v>275</v>
      </c>
      <c r="D81" s="33" t="s">
        <v>327</v>
      </c>
    </row>
    <row r="82" spans="1:4" ht="377" x14ac:dyDescent="0.35">
      <c r="A82" s="81" t="s">
        <v>1290</v>
      </c>
      <c r="B82" s="33" t="s">
        <v>241</v>
      </c>
      <c r="C82" s="33" t="s">
        <v>273</v>
      </c>
      <c r="D82" s="33" t="s">
        <v>242</v>
      </c>
    </row>
    <row r="83" spans="1:4" ht="348" x14ac:dyDescent="0.35">
      <c r="A83" s="81" t="s">
        <v>1291</v>
      </c>
      <c r="B83" s="33" t="s">
        <v>322</v>
      </c>
      <c r="C83" s="33" t="s">
        <v>274</v>
      </c>
      <c r="D83" s="33" t="s">
        <v>323</v>
      </c>
    </row>
    <row r="84" spans="1:4" ht="261" x14ac:dyDescent="0.35">
      <c r="A84" s="81" t="s">
        <v>1292</v>
      </c>
      <c r="B84" s="33" t="s">
        <v>16</v>
      </c>
      <c r="C84" s="33" t="s">
        <v>274</v>
      </c>
      <c r="D84" s="33" t="s">
        <v>17</v>
      </c>
    </row>
    <row r="85" spans="1:4" ht="333.5" x14ac:dyDescent="0.35">
      <c r="A85" s="81" t="s">
        <v>1293</v>
      </c>
      <c r="B85" s="33" t="s">
        <v>212</v>
      </c>
      <c r="C85" s="33" t="s">
        <v>283</v>
      </c>
      <c r="D85" s="33" t="s">
        <v>213</v>
      </c>
    </row>
    <row r="86" spans="1:4" ht="348" x14ac:dyDescent="0.35">
      <c r="A86" s="81" t="s">
        <v>1294</v>
      </c>
      <c r="B86" s="33" t="s">
        <v>231</v>
      </c>
      <c r="C86" s="33" t="s">
        <v>12</v>
      </c>
      <c r="D86" s="33" t="s">
        <v>232</v>
      </c>
    </row>
    <row r="87" spans="1:4" ht="333.5" x14ac:dyDescent="0.35">
      <c r="A87" s="81" t="s">
        <v>1295</v>
      </c>
      <c r="B87" s="33" t="s">
        <v>336</v>
      </c>
      <c r="C87" s="33" t="s">
        <v>273</v>
      </c>
      <c r="D87" s="33" t="s">
        <v>337</v>
      </c>
    </row>
    <row r="88" spans="1:4" ht="348" x14ac:dyDescent="0.35">
      <c r="A88" s="81" t="s">
        <v>1296</v>
      </c>
      <c r="B88" s="33" t="s">
        <v>218</v>
      </c>
      <c r="C88" s="33" t="s">
        <v>277</v>
      </c>
      <c r="D88" s="33" t="s">
        <v>219</v>
      </c>
    </row>
    <row r="89" spans="1:4" ht="246.5" x14ac:dyDescent="0.35">
      <c r="A89" s="81" t="s">
        <v>1297</v>
      </c>
      <c r="B89" s="33" t="s">
        <v>332</v>
      </c>
      <c r="C89" s="33" t="s">
        <v>275</v>
      </c>
      <c r="D89" s="33" t="s">
        <v>333</v>
      </c>
    </row>
    <row r="90" spans="1:4" ht="333.5" x14ac:dyDescent="0.35">
      <c r="A90" s="81" t="s">
        <v>1298</v>
      </c>
      <c r="B90" s="33" t="s">
        <v>328</v>
      </c>
      <c r="C90" s="33" t="s">
        <v>283</v>
      </c>
      <c r="D90" s="33" t="s">
        <v>329</v>
      </c>
    </row>
    <row r="91" spans="1:4" ht="409.5" x14ac:dyDescent="0.35">
      <c r="A91" s="81" t="s">
        <v>1299</v>
      </c>
      <c r="B91" s="33" t="s">
        <v>202</v>
      </c>
      <c r="C91" s="33" t="s">
        <v>97</v>
      </c>
      <c r="D91" s="33" t="s">
        <v>203</v>
      </c>
    </row>
    <row r="92" spans="1:4" ht="290" x14ac:dyDescent="0.35">
      <c r="A92" s="81" t="s">
        <v>1300</v>
      </c>
      <c r="B92" s="33" t="s">
        <v>353</v>
      </c>
      <c r="C92" s="33" t="s">
        <v>276</v>
      </c>
      <c r="D92" s="33" t="s">
        <v>354</v>
      </c>
    </row>
    <row r="93" spans="1:4" ht="377" x14ac:dyDescent="0.35">
      <c r="A93" s="81" t="s">
        <v>1301</v>
      </c>
      <c r="B93" s="33" t="s">
        <v>344</v>
      </c>
      <c r="C93" s="33" t="s">
        <v>273</v>
      </c>
      <c r="D93" s="33" t="s">
        <v>345</v>
      </c>
    </row>
    <row r="94" spans="1:4" ht="348" x14ac:dyDescent="0.35">
      <c r="A94" s="81" t="s">
        <v>1302</v>
      </c>
      <c r="B94" s="33" t="s">
        <v>296</v>
      </c>
      <c r="C94" s="33" t="s">
        <v>12</v>
      </c>
      <c r="D94" s="33" t="s">
        <v>297</v>
      </c>
    </row>
    <row r="95" spans="1:4" ht="319" x14ac:dyDescent="0.35">
      <c r="A95" s="81" t="s">
        <v>1303</v>
      </c>
      <c r="B95" s="33" t="s">
        <v>355</v>
      </c>
      <c r="C95" s="33" t="s">
        <v>276</v>
      </c>
      <c r="D95" s="33" t="s">
        <v>356</v>
      </c>
    </row>
    <row r="96" spans="1:4" ht="409.5" x14ac:dyDescent="0.35">
      <c r="A96" s="81" t="s">
        <v>1304</v>
      </c>
      <c r="B96" s="33" t="s">
        <v>287</v>
      </c>
      <c r="C96" s="33" t="s">
        <v>284</v>
      </c>
      <c r="D96" s="33" t="s">
        <v>280</v>
      </c>
    </row>
    <row r="97" spans="1:4" ht="319" x14ac:dyDescent="0.35">
      <c r="A97" s="81" t="s">
        <v>1305</v>
      </c>
      <c r="B97" s="33" t="s">
        <v>253</v>
      </c>
      <c r="C97" s="33" t="s">
        <v>276</v>
      </c>
      <c r="D97" s="33" t="s">
        <v>254</v>
      </c>
    </row>
    <row r="98" spans="1:4" ht="362.5" x14ac:dyDescent="0.35">
      <c r="A98" s="81" t="s">
        <v>1306</v>
      </c>
      <c r="B98" s="33" t="s">
        <v>216</v>
      </c>
      <c r="C98" s="33" t="s">
        <v>275</v>
      </c>
      <c r="D98" s="33" t="s">
        <v>217</v>
      </c>
    </row>
    <row r="99" spans="1:4" ht="87" x14ac:dyDescent="0.35">
      <c r="A99" s="81" t="s">
        <v>1307</v>
      </c>
      <c r="B99" s="33" t="s">
        <v>10</v>
      </c>
      <c r="C99" s="33" t="s">
        <v>277</v>
      </c>
      <c r="D99" s="33" t="s">
        <v>11</v>
      </c>
    </row>
    <row r="100" spans="1:4" ht="58" x14ac:dyDescent="0.35">
      <c r="A100" s="81" t="s">
        <v>1308</v>
      </c>
      <c r="B100" s="33" t="s">
        <v>8</v>
      </c>
      <c r="C100" s="33" t="s">
        <v>277</v>
      </c>
      <c r="D100" s="33" t="s">
        <v>9</v>
      </c>
    </row>
    <row r="101" spans="1:4" ht="348" x14ac:dyDescent="0.35">
      <c r="A101" s="81" t="s">
        <v>1309</v>
      </c>
      <c r="B101" s="33" t="s">
        <v>316</v>
      </c>
      <c r="C101" s="33" t="s">
        <v>274</v>
      </c>
      <c r="D101" s="33" t="s">
        <v>317</v>
      </c>
    </row>
    <row r="102" spans="1:4" ht="130.5" x14ac:dyDescent="0.35">
      <c r="A102" s="81" t="s">
        <v>1310</v>
      </c>
      <c r="B102" s="33" t="s">
        <v>42</v>
      </c>
      <c r="C102" s="33" t="s">
        <v>285</v>
      </c>
      <c r="D102" s="33" t="s">
        <v>43</v>
      </c>
    </row>
    <row r="103" spans="1:4" ht="377" x14ac:dyDescent="0.35">
      <c r="A103" s="81" t="s">
        <v>1311</v>
      </c>
      <c r="B103" s="33" t="s">
        <v>224</v>
      </c>
      <c r="C103" s="33" t="s">
        <v>274</v>
      </c>
      <c r="D103" s="33" t="s">
        <v>225</v>
      </c>
    </row>
    <row r="104" spans="1:4" ht="319" x14ac:dyDescent="0.35">
      <c r="A104" s="81" t="s">
        <v>1312</v>
      </c>
      <c r="B104" s="33" t="s">
        <v>330</v>
      </c>
      <c r="C104" s="33" t="s">
        <v>283</v>
      </c>
      <c r="D104" s="33" t="s">
        <v>331</v>
      </c>
    </row>
    <row r="105" spans="1:4" ht="87" x14ac:dyDescent="0.35">
      <c r="A105" s="81" t="s">
        <v>1313</v>
      </c>
      <c r="B105" s="33" t="s">
        <v>24</v>
      </c>
      <c r="C105" s="33" t="s">
        <v>276</v>
      </c>
      <c r="D105" s="33" t="s">
        <v>25</v>
      </c>
    </row>
    <row r="106" spans="1:4" ht="409.5" x14ac:dyDescent="0.35">
      <c r="A106" s="81" t="s">
        <v>1314</v>
      </c>
      <c r="B106" s="33" t="s">
        <v>50</v>
      </c>
      <c r="C106" s="33" t="s">
        <v>12</v>
      </c>
      <c r="D106" s="33" t="s">
        <v>51</v>
      </c>
    </row>
    <row r="107" spans="1:4" ht="290" x14ac:dyDescent="0.35">
      <c r="A107" s="81" t="s">
        <v>1315</v>
      </c>
      <c r="B107" s="33" t="s">
        <v>208</v>
      </c>
      <c r="C107" s="33" t="s">
        <v>275</v>
      </c>
      <c r="D107" s="33" t="s">
        <v>209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51DE9-2D88-4B66-A105-69C2BC50FA72}">
  <sheetPr>
    <tabColor rgb="FF555555"/>
  </sheetPr>
  <dimension ref="A1:K21"/>
  <sheetViews>
    <sheetView workbookViewId="0"/>
  </sheetViews>
  <sheetFormatPr baseColWidth="10" defaultRowHeight="14.5" x14ac:dyDescent="0.35"/>
  <cols>
    <col min="1" max="1" width="10.81640625" bestFit="1" customWidth="1"/>
    <col min="2" max="2" width="12.26953125" bestFit="1" customWidth="1"/>
    <col min="3" max="3" width="12.6328125" bestFit="1" customWidth="1"/>
    <col min="4" max="4" width="13.08984375" bestFit="1" customWidth="1"/>
    <col min="5" max="5" width="12" bestFit="1" customWidth="1"/>
    <col min="6" max="6" width="12.90625" bestFit="1" customWidth="1"/>
    <col min="7" max="7" width="10.7265625" bestFit="1" customWidth="1"/>
    <col min="8" max="8" width="8.26953125" bestFit="1" customWidth="1"/>
    <col min="9" max="9" width="11.54296875" bestFit="1" customWidth="1"/>
    <col min="10" max="10" width="10.81640625" bestFit="1" customWidth="1"/>
    <col min="11" max="11" width="11.6328125" bestFit="1" customWidth="1"/>
  </cols>
  <sheetData>
    <row r="1" spans="1:11" ht="43.5" x14ac:dyDescent="0.35">
      <c r="A1" s="81" t="s">
        <v>1209</v>
      </c>
      <c r="B1" s="33" t="s">
        <v>361</v>
      </c>
      <c r="C1" s="33" t="s">
        <v>362</v>
      </c>
      <c r="D1" s="33" t="s">
        <v>439</v>
      </c>
      <c r="E1" s="33" t="s">
        <v>363</v>
      </c>
      <c r="F1" s="33" t="s">
        <v>410</v>
      </c>
      <c r="G1" s="33" t="s">
        <v>371</v>
      </c>
      <c r="H1" s="33" t="s">
        <v>411</v>
      </c>
      <c r="I1" s="33" t="s">
        <v>412</v>
      </c>
      <c r="J1" s="33" t="s">
        <v>425</v>
      </c>
      <c r="K1" s="33" t="s">
        <v>434</v>
      </c>
    </row>
    <row r="2" spans="1:11" ht="333.5" x14ac:dyDescent="0.35">
      <c r="A2" s="252" t="s">
        <v>1341</v>
      </c>
      <c r="B2" s="53" t="s">
        <v>440</v>
      </c>
      <c r="C2" s="33" t="s">
        <v>372</v>
      </c>
      <c r="D2" s="33" t="s">
        <v>364</v>
      </c>
      <c r="E2" s="33" t="s">
        <v>373</v>
      </c>
      <c r="F2" s="33" t="s">
        <v>413</v>
      </c>
      <c r="G2" s="53" t="s">
        <v>374</v>
      </c>
      <c r="H2" s="54">
        <v>1</v>
      </c>
      <c r="I2" s="33" t="s">
        <v>414</v>
      </c>
      <c r="J2" s="55" t="s">
        <v>426</v>
      </c>
      <c r="K2" s="53" t="s">
        <v>432</v>
      </c>
    </row>
    <row r="3" spans="1:11" ht="290" x14ac:dyDescent="0.35">
      <c r="A3" s="252" t="s">
        <v>1342</v>
      </c>
      <c r="B3" s="53" t="s">
        <v>441</v>
      </c>
      <c r="C3" s="33" t="s">
        <v>372</v>
      </c>
      <c r="D3" s="33" t="s">
        <v>375</v>
      </c>
      <c r="E3" s="33" t="s">
        <v>376</v>
      </c>
      <c r="F3" s="33" t="s">
        <v>415</v>
      </c>
      <c r="G3" s="53" t="s">
        <v>377</v>
      </c>
      <c r="H3" s="54">
        <v>2</v>
      </c>
      <c r="I3" s="33" t="s">
        <v>416</v>
      </c>
      <c r="J3" s="56" t="s">
        <v>427</v>
      </c>
      <c r="K3" s="53" t="s">
        <v>432</v>
      </c>
    </row>
    <row r="4" spans="1:11" ht="319" x14ac:dyDescent="0.35">
      <c r="A4" s="252" t="s">
        <v>1343</v>
      </c>
      <c r="B4" s="53" t="s">
        <v>435</v>
      </c>
      <c r="C4" s="33" t="s">
        <v>372</v>
      </c>
      <c r="D4" s="33" t="s">
        <v>378</v>
      </c>
      <c r="E4" s="33" t="s">
        <v>379</v>
      </c>
      <c r="F4" s="33" t="s">
        <v>417</v>
      </c>
      <c r="G4" s="53" t="s">
        <v>377</v>
      </c>
      <c r="H4" s="54">
        <v>3</v>
      </c>
      <c r="I4" s="33" t="s">
        <v>418</v>
      </c>
      <c r="J4" s="56" t="s">
        <v>428</v>
      </c>
      <c r="K4" s="53" t="s">
        <v>432</v>
      </c>
    </row>
    <row r="5" spans="1:11" ht="333.5" x14ac:dyDescent="0.35">
      <c r="A5" s="252" t="s">
        <v>1344</v>
      </c>
      <c r="B5" s="53" t="s">
        <v>442</v>
      </c>
      <c r="C5" s="33" t="s">
        <v>380</v>
      </c>
      <c r="D5" s="33" t="s">
        <v>443</v>
      </c>
      <c r="E5" s="33" t="s">
        <v>444</v>
      </c>
      <c r="F5" s="33" t="s">
        <v>445</v>
      </c>
      <c r="G5" s="53" t="s">
        <v>377</v>
      </c>
      <c r="H5" s="54">
        <v>4</v>
      </c>
      <c r="I5" s="33" t="s">
        <v>446</v>
      </c>
      <c r="J5" s="56" t="s">
        <v>447</v>
      </c>
      <c r="K5" s="53" t="s">
        <v>448</v>
      </c>
    </row>
    <row r="6" spans="1:11" ht="319" x14ac:dyDescent="0.35">
      <c r="A6" s="252" t="s">
        <v>1345</v>
      </c>
      <c r="B6" s="53" t="s">
        <v>449</v>
      </c>
      <c r="C6" s="33" t="s">
        <v>380</v>
      </c>
      <c r="D6" s="33" t="s">
        <v>450</v>
      </c>
      <c r="E6" s="33" t="s">
        <v>451</v>
      </c>
      <c r="F6" s="33" t="s">
        <v>452</v>
      </c>
      <c r="G6" s="53" t="s">
        <v>377</v>
      </c>
      <c r="H6" s="54">
        <v>5</v>
      </c>
      <c r="I6" s="33" t="s">
        <v>453</v>
      </c>
      <c r="J6" s="56" t="s">
        <v>454</v>
      </c>
      <c r="K6" s="53" t="s">
        <v>448</v>
      </c>
    </row>
    <row r="7" spans="1:11" ht="333.5" x14ac:dyDescent="0.35">
      <c r="A7" s="252" t="s">
        <v>1346</v>
      </c>
      <c r="B7" s="53" t="s">
        <v>436</v>
      </c>
      <c r="C7" s="33" t="s">
        <v>380</v>
      </c>
      <c r="D7" s="33" t="s">
        <v>381</v>
      </c>
      <c r="E7" s="33" t="s">
        <v>382</v>
      </c>
      <c r="F7" s="33" t="s">
        <v>419</v>
      </c>
      <c r="G7" s="53" t="s">
        <v>383</v>
      </c>
      <c r="H7" s="54">
        <v>6</v>
      </c>
      <c r="I7" s="33" t="s">
        <v>420</v>
      </c>
      <c r="J7" s="56" t="s">
        <v>429</v>
      </c>
      <c r="K7" s="53" t="s">
        <v>433</v>
      </c>
    </row>
    <row r="8" spans="1:11" ht="319" x14ac:dyDescent="0.35">
      <c r="A8" s="252" t="s">
        <v>1347</v>
      </c>
      <c r="B8" s="53" t="s">
        <v>437</v>
      </c>
      <c r="C8" s="33" t="s">
        <v>372</v>
      </c>
      <c r="D8" s="33" t="s">
        <v>384</v>
      </c>
      <c r="E8" s="33" t="s">
        <v>385</v>
      </c>
      <c r="F8" s="33" t="s">
        <v>421</v>
      </c>
      <c r="G8" s="53" t="s">
        <v>386</v>
      </c>
      <c r="H8" s="54">
        <v>7</v>
      </c>
      <c r="I8" s="33" t="s">
        <v>422</v>
      </c>
      <c r="J8" s="56" t="s">
        <v>430</v>
      </c>
      <c r="K8" s="53" t="s">
        <v>432</v>
      </c>
    </row>
    <row r="9" spans="1:11" ht="377" x14ac:dyDescent="0.35">
      <c r="A9" s="252" t="s">
        <v>1348</v>
      </c>
      <c r="B9" s="53" t="s">
        <v>438</v>
      </c>
      <c r="C9" s="33" t="s">
        <v>372</v>
      </c>
      <c r="D9" s="33" t="s">
        <v>387</v>
      </c>
      <c r="E9" s="33" t="s">
        <v>388</v>
      </c>
      <c r="F9" s="33" t="s">
        <v>423</v>
      </c>
      <c r="G9" s="53" t="s">
        <v>389</v>
      </c>
      <c r="H9" s="54">
        <v>8</v>
      </c>
      <c r="I9" s="33" t="s">
        <v>424</v>
      </c>
      <c r="J9" s="56" t="s">
        <v>431</v>
      </c>
      <c r="K9" s="53" t="s">
        <v>432</v>
      </c>
    </row>
    <row r="10" spans="1:11" x14ac:dyDescent="0.35">
      <c r="A10" s="1"/>
      <c r="B10" s="1"/>
      <c r="C10" s="1"/>
      <c r="D10" s="1"/>
      <c r="E10" s="1"/>
      <c r="F10" s="1"/>
      <c r="G10" s="1"/>
      <c r="H10" s="1"/>
      <c r="I10" s="1"/>
      <c r="J10" s="1"/>
      <c r="K10" s="1"/>
    </row>
    <row r="11" spans="1:11" x14ac:dyDescent="0.35">
      <c r="A11" s="1"/>
      <c r="B11" s="1"/>
      <c r="C11" s="1"/>
      <c r="D11" s="1"/>
      <c r="E11" s="1"/>
      <c r="F11" s="1"/>
      <c r="G11" s="1"/>
      <c r="H11" s="1"/>
      <c r="I11" s="1"/>
      <c r="J11" s="1"/>
      <c r="K11" s="1"/>
    </row>
    <row r="12" spans="1:11" x14ac:dyDescent="0.35">
      <c r="A12" s="1"/>
      <c r="B12" s="1"/>
      <c r="C12" s="1"/>
      <c r="D12" s="1"/>
      <c r="E12" s="1"/>
      <c r="F12" s="1"/>
      <c r="G12" s="1"/>
      <c r="H12" s="1"/>
      <c r="I12" s="1"/>
      <c r="J12" s="1"/>
      <c r="K12" s="1"/>
    </row>
    <row r="13" spans="1:11" ht="87" x14ac:dyDescent="0.35">
      <c r="A13" s="33" t="s">
        <v>390</v>
      </c>
      <c r="B13" s="33" t="s">
        <v>391</v>
      </c>
      <c r="C13" s="33" t="s">
        <v>1</v>
      </c>
      <c r="D13" s="33" t="s">
        <v>1205</v>
      </c>
      <c r="E13" s="1"/>
      <c r="F13" s="1"/>
      <c r="G13" s="1"/>
      <c r="H13" s="1"/>
      <c r="I13" s="1"/>
      <c r="J13" s="1"/>
      <c r="K13" s="1"/>
    </row>
    <row r="14" spans="1:11" ht="130.5" x14ac:dyDescent="0.35">
      <c r="A14" s="33" t="s">
        <v>372</v>
      </c>
      <c r="B14" s="33" t="s">
        <v>370</v>
      </c>
      <c r="C14" s="33" t="s">
        <v>392</v>
      </c>
      <c r="D14" s="33" t="s">
        <v>393</v>
      </c>
      <c r="E14" s="1"/>
      <c r="F14" s="1"/>
      <c r="G14" s="1"/>
      <c r="H14" s="1"/>
      <c r="I14" s="1"/>
      <c r="J14" s="1"/>
      <c r="K14" s="1"/>
    </row>
    <row r="15" spans="1:11" ht="174" x14ac:dyDescent="0.35">
      <c r="A15" s="33" t="s">
        <v>380</v>
      </c>
      <c r="B15" s="33" t="s">
        <v>370</v>
      </c>
      <c r="C15" s="33" t="s">
        <v>394</v>
      </c>
      <c r="D15" s="33" t="s">
        <v>395</v>
      </c>
      <c r="E15" s="1"/>
      <c r="F15" s="1"/>
      <c r="G15" s="1"/>
      <c r="H15" s="1"/>
      <c r="I15" s="1"/>
      <c r="J15" s="1"/>
      <c r="K15" s="1"/>
    </row>
    <row r="16" spans="1:11" ht="159.5" x14ac:dyDescent="0.35">
      <c r="A16" s="33" t="s">
        <v>367</v>
      </c>
      <c r="B16" s="33" t="s">
        <v>396</v>
      </c>
      <c r="C16" s="33" t="s">
        <v>397</v>
      </c>
      <c r="D16" s="33" t="s">
        <v>398</v>
      </c>
      <c r="E16" s="1"/>
      <c r="F16" s="1"/>
      <c r="G16" s="1"/>
      <c r="H16" s="1"/>
      <c r="I16" s="1"/>
      <c r="J16" s="1"/>
      <c r="K16" s="1"/>
    </row>
    <row r="17" spans="1:11" ht="159.5" x14ac:dyDescent="0.35">
      <c r="A17" s="33" t="s">
        <v>366</v>
      </c>
      <c r="B17" s="33" t="s">
        <v>396</v>
      </c>
      <c r="C17" s="33" t="s">
        <v>399</v>
      </c>
      <c r="D17" s="33" t="s">
        <v>400</v>
      </c>
      <c r="E17" s="1"/>
      <c r="F17" s="1"/>
      <c r="G17" s="1"/>
      <c r="H17" s="1"/>
      <c r="I17" s="1"/>
      <c r="J17" s="1"/>
      <c r="K17" s="1"/>
    </row>
    <row r="18" spans="1:11" ht="130.5" x14ac:dyDescent="0.35">
      <c r="A18" s="33" t="s">
        <v>368</v>
      </c>
      <c r="B18" s="33" t="s">
        <v>396</v>
      </c>
      <c r="C18" s="33" t="s">
        <v>401</v>
      </c>
      <c r="D18" s="33" t="s">
        <v>402</v>
      </c>
      <c r="E18" s="1"/>
      <c r="F18" s="1"/>
      <c r="G18" s="1"/>
      <c r="H18" s="1"/>
      <c r="I18" s="1"/>
      <c r="J18" s="1"/>
      <c r="K18" s="1"/>
    </row>
    <row r="19" spans="1:11" ht="130.5" x14ac:dyDescent="0.35">
      <c r="A19" s="33" t="s">
        <v>369</v>
      </c>
      <c r="B19" s="33" t="s">
        <v>396</v>
      </c>
      <c r="C19" s="33" t="s">
        <v>403</v>
      </c>
      <c r="D19" s="33" t="s">
        <v>402</v>
      </c>
      <c r="E19" s="1"/>
      <c r="F19" s="1"/>
      <c r="G19" s="1"/>
      <c r="H19" s="1"/>
      <c r="I19" s="1"/>
      <c r="J19" s="1"/>
      <c r="K19" s="1"/>
    </row>
    <row r="20" spans="1:11" ht="232" x14ac:dyDescent="0.35">
      <c r="A20" s="33" t="s">
        <v>365</v>
      </c>
      <c r="B20" s="33" t="s">
        <v>404</v>
      </c>
      <c r="C20" s="33" t="s">
        <v>405</v>
      </c>
      <c r="D20" s="33" t="s">
        <v>406</v>
      </c>
      <c r="E20" s="1"/>
      <c r="F20" s="1"/>
      <c r="G20" s="1"/>
      <c r="H20" s="1"/>
      <c r="I20" s="1"/>
      <c r="J20" s="1"/>
      <c r="K20" s="1"/>
    </row>
    <row r="21" spans="1:11" ht="159.5" x14ac:dyDescent="0.35">
      <c r="A21" s="33" t="s">
        <v>407</v>
      </c>
      <c r="B21" s="33" t="s">
        <v>408</v>
      </c>
      <c r="C21" s="33" t="s">
        <v>409</v>
      </c>
      <c r="D21" s="33" t="s">
        <v>455</v>
      </c>
      <c r="E21" s="1"/>
      <c r="F21" s="1"/>
      <c r="G21" s="1"/>
      <c r="H21" s="1"/>
      <c r="I21" s="1"/>
      <c r="J21" s="1"/>
      <c r="K21" s="1"/>
    </row>
  </sheetData>
  <hyperlinks>
    <hyperlink ref="J2" r:id="rId1" xr:uid="{9E3B7034-794D-4CF3-87C3-B357D9B3EBBF}"/>
  </hyperlinks>
  <pageMargins left="0.7" right="0.7" top="0.75" bottom="0.75" header="0.3" footer="0.3"/>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21</vt:i4>
      </vt:variant>
      <vt:variant>
        <vt:lpstr>Plages nommées</vt:lpstr>
      </vt:variant>
      <vt:variant>
        <vt:i4>15</vt:i4>
      </vt:variant>
    </vt:vector>
  </HeadingPairs>
  <TitlesOfParts>
    <vt:vector size="36" baseType="lpstr">
      <vt:lpstr>Accueil</vt:lpstr>
      <vt:lpstr>Boussole IA</vt:lpstr>
      <vt:lpstr>Explorer les solutions</vt:lpstr>
      <vt:lpstr>Comparer les écosystèmes</vt:lpstr>
      <vt:lpstr>Glossaire</vt:lpstr>
      <vt:lpstr>Agents &amp; assistants IA</vt:lpstr>
      <vt:lpstr>Recherche guidée des solutions</vt:lpstr>
      <vt:lpstr>Usages &amp; Solutions</vt:lpstr>
      <vt:lpstr>Certifications</vt:lpstr>
      <vt:lpstr>Prompts</vt:lpstr>
      <vt:lpstr>Bibliothèque prompts</vt:lpstr>
      <vt:lpstr>Sources prompts</vt:lpstr>
      <vt:lpstr>Évaluations prompts</vt:lpstr>
      <vt:lpstr>Moodboard V2</vt:lpstr>
      <vt:lpstr>Outils</vt:lpstr>
      <vt:lpstr>Boussole Références</vt:lpstr>
      <vt:lpstr>Architecture Atlas</vt:lpstr>
      <vt:lpstr>Comparaison Références</vt:lpstr>
      <vt:lpstr>Référentiel Agents</vt:lpstr>
      <vt:lpstr>Référentiel Glossaire</vt:lpstr>
      <vt:lpstr>Référentiel Certifications</vt:lpstr>
      <vt:lpstr>Agents_Autonomie</vt:lpstr>
      <vt:lpstr>Agents_Types</vt:lpstr>
      <vt:lpstr>Boussole_Q1_Liste</vt:lpstr>
      <vt:lpstr>Boussole_Q3_Liste</vt:lpstr>
      <vt:lpstr>Boussole_Q4_Liste</vt:lpstr>
      <vt:lpstr>Boussole_Q5_Liste</vt:lpstr>
      <vt:lpstr>Comparaison_Besoins</vt:lpstr>
      <vt:lpstr>CouleurIA_Audience</vt:lpstr>
      <vt:lpstr>CouleurIA_Reponses</vt:lpstr>
      <vt:lpstr>CouleurIA_Resultat</vt:lpstr>
      <vt:lpstr>Explorer_Capacites</vt:lpstr>
      <vt:lpstr>Explorer_Couts</vt:lpstr>
      <vt:lpstr>Explorer_Editeurs</vt:lpstr>
      <vt:lpstr>Explorer_Niveaux</vt:lpstr>
      <vt:lpstr>Explorer_Types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BRICE DARDEAU</dc:creator>
  <cp:lastModifiedBy>BRICE DARDEAU</cp:lastModifiedBy>
  <dcterms:created xsi:type="dcterms:W3CDTF">2026-07-23T14:20:41Z</dcterms:created>
  <dcterms:modified xsi:type="dcterms:W3CDTF">2026-08-21T11:13:52Z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463cba9-5f6c-478d-9329-7b2295e4e8ed_Enabled">
    <vt:lpwstr>true</vt:lpwstr>
  </property>
  <property fmtid="{D5CDD505-2E9C-101B-9397-08002B2CF9AE}" pid="3" name="MSIP_Label_e463cba9-5f6c-478d-9329-7b2295e4e8ed_SetDate">
    <vt:lpwstr>2026-07-23T14:34:17Z</vt:lpwstr>
  </property>
  <property fmtid="{D5CDD505-2E9C-101B-9397-08002B2CF9AE}" pid="4" name="MSIP_Label_e463cba9-5f6c-478d-9329-7b2295e4e8ed_Method">
    <vt:lpwstr>Standard</vt:lpwstr>
  </property>
  <property fmtid="{D5CDD505-2E9C-101B-9397-08002B2CF9AE}" pid="5" name="MSIP_Label_e463cba9-5f6c-478d-9329-7b2295e4e8ed_Name">
    <vt:lpwstr>All Employees_2</vt:lpwstr>
  </property>
  <property fmtid="{D5CDD505-2E9C-101B-9397-08002B2CF9AE}" pid="6" name="MSIP_Label_e463cba9-5f6c-478d-9329-7b2295e4e8ed_SiteId">
    <vt:lpwstr>33440fc6-b7c7-412c-bb73-0e70b0198d5a</vt:lpwstr>
  </property>
  <property fmtid="{D5CDD505-2E9C-101B-9397-08002B2CF9AE}" pid="7" name="MSIP_Label_e463cba9-5f6c-478d-9329-7b2295e4e8ed_ActionId">
    <vt:lpwstr>2456986d-e23e-4ece-b75a-443f703aef31</vt:lpwstr>
  </property>
  <property fmtid="{D5CDD505-2E9C-101B-9397-08002B2CF9AE}" pid="8" name="MSIP_Label_e463cba9-5f6c-478d-9329-7b2295e4e8ed_ContentBits">
    <vt:lpwstr>0</vt:lpwstr>
  </property>
  <property fmtid="{D5CDD505-2E9C-101B-9397-08002B2CF9AE}" pid="9" name="MSIP_Label_e463cba9-5f6c-478d-9329-7b2295e4e8ed_Tag">
    <vt:lpwstr>10, 3, 0, 1</vt:lpwstr>
  </property>
</Properties>
</file>